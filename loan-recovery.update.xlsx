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0E46EE5A8354B8A4/data_work/Data Room/"/>
    </mc:Choice>
  </mc:AlternateContent>
  <xr:revisionPtr revIDLastSave="24" documentId="8_{AD720896-EBA4-42DF-B482-3E3D401E0511}" xr6:coauthVersionLast="47" xr6:coauthVersionMax="47" xr10:uidLastSave="{E499ADA6-D663-4DBD-9758-6504406F2D7E}"/>
  <bookViews>
    <workbookView xWindow="-120" yWindow="-120" windowWidth="24240" windowHeight="13740" xr2:uid="{E8310AF7-D4E0-460C-8FA5-BC079BF117A1}"/>
  </bookViews>
  <sheets>
    <sheet name="Pivot Tables" sheetId="3" r:id="rId1"/>
    <sheet name="Dashboard" sheetId="4" r:id="rId2"/>
    <sheet name="New Table" sheetId="2" r:id="rId3"/>
    <sheet name="loan-recovery" sheetId="1" r:id="rId4"/>
    <sheet name="Kutools_Chart" sheetId="5" state="hidden" r:id="rId5"/>
  </sheets>
  <definedNames>
    <definedName name="ExternalData_1" localSheetId="2" hidden="1">'New Table'!$A$1:$U$501</definedName>
    <definedName name="Slicer_Gender">#N/A</definedName>
    <definedName name="Slicer_Legal_Action_Taken">#N/A</definedName>
    <definedName name="Slicer_Loan_Type">#N/A</definedName>
    <definedName name="Slicer_Recovery_Status">#N/A</definedName>
  </definedNames>
  <calcPr calcId="191029"/>
  <pivotCaches>
    <pivotCache cacheId="13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2" i="5"/>
  <c r="B10" i="5"/>
  <c r="A10" i="5"/>
  <c r="B9" i="5"/>
  <c r="A9" i="5"/>
  <c r="B8" i="5"/>
  <c r="A8" i="5"/>
  <c r="B7" i="5"/>
  <c r="A7" i="5"/>
  <c r="B6" i="5"/>
  <c r="A6" i="5"/>
  <c r="B5" i="5"/>
  <c r="A5" i="5"/>
  <c r="B4" i="5"/>
  <c r="A4" i="5"/>
  <c r="B3" i="5"/>
  <c r="A3" i="5"/>
  <c r="B2" i="5"/>
  <c r="A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FDB38B-4A3A-448E-8817-9DAD3422D46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<sst xmlns="http://schemas.openxmlformats.org/spreadsheetml/2006/main" count="9105" uniqueCount="1057">
  <si>
    <t>Borrower_ID</t>
  </si>
  <si>
    <t>Age</t>
  </si>
  <si>
    <t>Gender</t>
  </si>
  <si>
    <t>Employment_Type</t>
  </si>
  <si>
    <t>Monthly_Income</t>
  </si>
  <si>
    <t>Num_Dependents</t>
  </si>
  <si>
    <t>Loan_ID</t>
  </si>
  <si>
    <t>Loan_Amount</t>
  </si>
  <si>
    <t>Loan_Tenure</t>
  </si>
  <si>
    <t>Interest_Rate</t>
  </si>
  <si>
    <t>Loan_Type</t>
  </si>
  <si>
    <t>Collateral_Value</t>
  </si>
  <si>
    <t>Outstanding_Loan_Amount</t>
  </si>
  <si>
    <t>Monthly_EMI</t>
  </si>
  <si>
    <t>Payment_History</t>
  </si>
  <si>
    <t>Num_Missed_Payments</t>
  </si>
  <si>
    <t>Days_Past_Due</t>
  </si>
  <si>
    <t>Recovery_Status</t>
  </si>
  <si>
    <t>Collection_Attempts</t>
  </si>
  <si>
    <t>Collection_Method</t>
  </si>
  <si>
    <t>Legal_Action_Taken</t>
  </si>
  <si>
    <t>BRW_1</t>
  </si>
  <si>
    <t>Male</t>
  </si>
  <si>
    <t>Salaried</t>
  </si>
  <si>
    <t>LN_1</t>
  </si>
  <si>
    <t>Home</t>
  </si>
  <si>
    <t>On-Time</t>
  </si>
  <si>
    <t>Partially Recovered</t>
  </si>
  <si>
    <t>Settlement Offer</t>
  </si>
  <si>
    <t>No</t>
  </si>
  <si>
    <t>BRW_2</t>
  </si>
  <si>
    <t>Female</t>
  </si>
  <si>
    <t>LN_2</t>
  </si>
  <si>
    <t>Auto</t>
  </si>
  <si>
    <t>Fully Recovered</t>
  </si>
  <si>
    <t>BRW_3</t>
  </si>
  <si>
    <t>LN_3</t>
  </si>
  <si>
    <t>Delayed</t>
  </si>
  <si>
    <t>Legal Notice</t>
  </si>
  <si>
    <t>BRW_4</t>
  </si>
  <si>
    <t>LN_4</t>
  </si>
  <si>
    <t>Calls</t>
  </si>
  <si>
    <t>BRW_5</t>
  </si>
  <si>
    <t>LN_5</t>
  </si>
  <si>
    <t>Personal</t>
  </si>
  <si>
    <t>Debt Collectors</t>
  </si>
  <si>
    <t>BRW_6</t>
  </si>
  <si>
    <t>LN_6</t>
  </si>
  <si>
    <t>BRW_7</t>
  </si>
  <si>
    <t>Self-Employed</t>
  </si>
  <si>
    <t>LN_7</t>
  </si>
  <si>
    <t>BRW_8</t>
  </si>
  <si>
    <t>LN_8</t>
  </si>
  <si>
    <t>BRW_9</t>
  </si>
  <si>
    <t>LN_9</t>
  </si>
  <si>
    <t>BRW_10</t>
  </si>
  <si>
    <t>LN_10</t>
  </si>
  <si>
    <t>BRW_11</t>
  </si>
  <si>
    <t>Business Owner</t>
  </si>
  <si>
    <t>LN_11</t>
  </si>
  <si>
    <t>BRW_12</t>
  </si>
  <si>
    <t>LN_12</t>
  </si>
  <si>
    <t>BRW_13</t>
  </si>
  <si>
    <t>LN_13</t>
  </si>
  <si>
    <t>Business</t>
  </si>
  <si>
    <t>Written Off</t>
  </si>
  <si>
    <t>BRW_14</t>
  </si>
  <si>
    <t>LN_14</t>
  </si>
  <si>
    <t>Missed</t>
  </si>
  <si>
    <t>BRW_15</t>
  </si>
  <si>
    <t>LN_15</t>
  </si>
  <si>
    <t>BRW_16</t>
  </si>
  <si>
    <t>LN_16</t>
  </si>
  <si>
    <t>BRW_17</t>
  </si>
  <si>
    <t>LN_17</t>
  </si>
  <si>
    <t>BRW_18</t>
  </si>
  <si>
    <t>LN_18</t>
  </si>
  <si>
    <t>BRW_19</t>
  </si>
  <si>
    <t>LN_19</t>
  </si>
  <si>
    <t>Yes</t>
  </si>
  <si>
    <t>BRW_20</t>
  </si>
  <si>
    <t>LN_20</t>
  </si>
  <si>
    <t>BRW_21</t>
  </si>
  <si>
    <t>LN_21</t>
  </si>
  <si>
    <t>BRW_22</t>
  </si>
  <si>
    <t>LN_22</t>
  </si>
  <si>
    <t>BRW_23</t>
  </si>
  <si>
    <t>LN_23</t>
  </si>
  <si>
    <t>BRW_24</t>
  </si>
  <si>
    <t>LN_24</t>
  </si>
  <si>
    <t>BRW_25</t>
  </si>
  <si>
    <t>LN_25</t>
  </si>
  <si>
    <t>BRW_26</t>
  </si>
  <si>
    <t>LN_26</t>
  </si>
  <si>
    <t>BRW_27</t>
  </si>
  <si>
    <t>LN_27</t>
  </si>
  <si>
    <t>BRW_28</t>
  </si>
  <si>
    <t>LN_28</t>
  </si>
  <si>
    <t>BRW_29</t>
  </si>
  <si>
    <t>LN_29</t>
  </si>
  <si>
    <t>BRW_30</t>
  </si>
  <si>
    <t>LN_30</t>
  </si>
  <si>
    <t>BRW_31</t>
  </si>
  <si>
    <t>LN_31</t>
  </si>
  <si>
    <t>BRW_32</t>
  </si>
  <si>
    <t>LN_32</t>
  </si>
  <si>
    <t>BRW_33</t>
  </si>
  <si>
    <t>LN_33</t>
  </si>
  <si>
    <t>BRW_34</t>
  </si>
  <si>
    <t>LN_34</t>
  </si>
  <si>
    <t>BRW_35</t>
  </si>
  <si>
    <t>LN_35</t>
  </si>
  <si>
    <t>BRW_36</t>
  </si>
  <si>
    <t>LN_36</t>
  </si>
  <si>
    <t>BRW_37</t>
  </si>
  <si>
    <t>LN_37</t>
  </si>
  <si>
    <t>BRW_38</t>
  </si>
  <si>
    <t>LN_38</t>
  </si>
  <si>
    <t>BRW_39</t>
  </si>
  <si>
    <t>LN_39</t>
  </si>
  <si>
    <t>BRW_40</t>
  </si>
  <si>
    <t>LN_40</t>
  </si>
  <si>
    <t>BRW_41</t>
  </si>
  <si>
    <t>LN_41</t>
  </si>
  <si>
    <t>BRW_42</t>
  </si>
  <si>
    <t>LN_42</t>
  </si>
  <si>
    <t>BRW_43</t>
  </si>
  <si>
    <t>LN_43</t>
  </si>
  <si>
    <t>BRW_44</t>
  </si>
  <si>
    <t>LN_44</t>
  </si>
  <si>
    <t>BRW_45</t>
  </si>
  <si>
    <t>LN_45</t>
  </si>
  <si>
    <t>BRW_46</t>
  </si>
  <si>
    <t>LN_46</t>
  </si>
  <si>
    <t>BRW_47</t>
  </si>
  <si>
    <t>LN_47</t>
  </si>
  <si>
    <t>BRW_48</t>
  </si>
  <si>
    <t>LN_48</t>
  </si>
  <si>
    <t>BRW_49</t>
  </si>
  <si>
    <t>LN_49</t>
  </si>
  <si>
    <t>BRW_50</t>
  </si>
  <si>
    <t>LN_50</t>
  </si>
  <si>
    <t>BRW_51</t>
  </si>
  <si>
    <t>LN_51</t>
  </si>
  <si>
    <t>BRW_52</t>
  </si>
  <si>
    <t>LN_52</t>
  </si>
  <si>
    <t>BRW_53</t>
  </si>
  <si>
    <t>LN_53</t>
  </si>
  <si>
    <t>BRW_54</t>
  </si>
  <si>
    <t>LN_54</t>
  </si>
  <si>
    <t>BRW_55</t>
  </si>
  <si>
    <t>LN_55</t>
  </si>
  <si>
    <t>BRW_56</t>
  </si>
  <si>
    <t>LN_56</t>
  </si>
  <si>
    <t>BRW_57</t>
  </si>
  <si>
    <t>LN_57</t>
  </si>
  <si>
    <t>BRW_58</t>
  </si>
  <si>
    <t>LN_58</t>
  </si>
  <si>
    <t>BRW_59</t>
  </si>
  <si>
    <t>LN_59</t>
  </si>
  <si>
    <t>BRW_60</t>
  </si>
  <si>
    <t>LN_60</t>
  </si>
  <si>
    <t>BRW_61</t>
  </si>
  <si>
    <t>LN_61</t>
  </si>
  <si>
    <t>BRW_62</t>
  </si>
  <si>
    <t>LN_62</t>
  </si>
  <si>
    <t>BRW_63</t>
  </si>
  <si>
    <t>LN_63</t>
  </si>
  <si>
    <t>BRW_64</t>
  </si>
  <si>
    <t>LN_64</t>
  </si>
  <si>
    <t>BRW_65</t>
  </si>
  <si>
    <t>LN_65</t>
  </si>
  <si>
    <t>BRW_66</t>
  </si>
  <si>
    <t>LN_66</t>
  </si>
  <si>
    <t>BRW_67</t>
  </si>
  <si>
    <t>LN_67</t>
  </si>
  <si>
    <t>BRW_68</t>
  </si>
  <si>
    <t>LN_68</t>
  </si>
  <si>
    <t>BRW_69</t>
  </si>
  <si>
    <t>LN_69</t>
  </si>
  <si>
    <t>BRW_70</t>
  </si>
  <si>
    <t>LN_70</t>
  </si>
  <si>
    <t>BRW_71</t>
  </si>
  <si>
    <t>LN_71</t>
  </si>
  <si>
    <t>BRW_72</t>
  </si>
  <si>
    <t>LN_72</t>
  </si>
  <si>
    <t>BRW_73</t>
  </si>
  <si>
    <t>LN_73</t>
  </si>
  <si>
    <t>BRW_74</t>
  </si>
  <si>
    <t>LN_74</t>
  </si>
  <si>
    <t>BRW_75</t>
  </si>
  <si>
    <t>LN_75</t>
  </si>
  <si>
    <t>BRW_76</t>
  </si>
  <si>
    <t>LN_76</t>
  </si>
  <si>
    <t>BRW_77</t>
  </si>
  <si>
    <t>LN_77</t>
  </si>
  <si>
    <t>BRW_78</t>
  </si>
  <si>
    <t>LN_78</t>
  </si>
  <si>
    <t>BRW_79</t>
  </si>
  <si>
    <t>LN_79</t>
  </si>
  <si>
    <t>BRW_80</t>
  </si>
  <si>
    <t>LN_80</t>
  </si>
  <si>
    <t>BRW_81</t>
  </si>
  <si>
    <t>LN_81</t>
  </si>
  <si>
    <t>BRW_82</t>
  </si>
  <si>
    <t>LN_82</t>
  </si>
  <si>
    <t>BRW_83</t>
  </si>
  <si>
    <t>LN_83</t>
  </si>
  <si>
    <t>BRW_84</t>
  </si>
  <si>
    <t>LN_84</t>
  </si>
  <si>
    <t>BRW_85</t>
  </si>
  <si>
    <t>LN_85</t>
  </si>
  <si>
    <t>BRW_86</t>
  </si>
  <si>
    <t>LN_86</t>
  </si>
  <si>
    <t>BRW_87</t>
  </si>
  <si>
    <t>LN_87</t>
  </si>
  <si>
    <t>BRW_88</t>
  </si>
  <si>
    <t>LN_88</t>
  </si>
  <si>
    <t>BRW_89</t>
  </si>
  <si>
    <t>LN_89</t>
  </si>
  <si>
    <t>BRW_90</t>
  </si>
  <si>
    <t>LN_90</t>
  </si>
  <si>
    <t>BRW_91</t>
  </si>
  <si>
    <t>LN_91</t>
  </si>
  <si>
    <t>BRW_92</t>
  </si>
  <si>
    <t>LN_92</t>
  </si>
  <si>
    <t>BRW_93</t>
  </si>
  <si>
    <t>LN_93</t>
  </si>
  <si>
    <t>BRW_94</t>
  </si>
  <si>
    <t>LN_94</t>
  </si>
  <si>
    <t>BRW_95</t>
  </si>
  <si>
    <t>LN_95</t>
  </si>
  <si>
    <t>BRW_96</t>
  </si>
  <si>
    <t>LN_96</t>
  </si>
  <si>
    <t>BRW_97</t>
  </si>
  <si>
    <t>LN_97</t>
  </si>
  <si>
    <t>BRW_98</t>
  </si>
  <si>
    <t>LN_98</t>
  </si>
  <si>
    <t>BRW_99</t>
  </si>
  <si>
    <t>LN_99</t>
  </si>
  <si>
    <t>BRW_100</t>
  </si>
  <si>
    <t>LN_100</t>
  </si>
  <si>
    <t>BRW_101</t>
  </si>
  <si>
    <t>LN_101</t>
  </si>
  <si>
    <t>BRW_102</t>
  </si>
  <si>
    <t>LN_102</t>
  </si>
  <si>
    <t>BRW_103</t>
  </si>
  <si>
    <t>LN_103</t>
  </si>
  <si>
    <t>BRW_104</t>
  </si>
  <si>
    <t>LN_104</t>
  </si>
  <si>
    <t>BRW_105</t>
  </si>
  <si>
    <t>LN_105</t>
  </si>
  <si>
    <t>BRW_106</t>
  </si>
  <si>
    <t>LN_106</t>
  </si>
  <si>
    <t>BRW_107</t>
  </si>
  <si>
    <t>LN_107</t>
  </si>
  <si>
    <t>BRW_108</t>
  </si>
  <si>
    <t>LN_108</t>
  </si>
  <si>
    <t>BRW_109</t>
  </si>
  <si>
    <t>LN_109</t>
  </si>
  <si>
    <t>BRW_110</t>
  </si>
  <si>
    <t>LN_110</t>
  </si>
  <si>
    <t>BRW_111</t>
  </si>
  <si>
    <t>LN_111</t>
  </si>
  <si>
    <t>BRW_112</t>
  </si>
  <si>
    <t>LN_112</t>
  </si>
  <si>
    <t>BRW_113</t>
  </si>
  <si>
    <t>LN_113</t>
  </si>
  <si>
    <t>BRW_114</t>
  </si>
  <si>
    <t>LN_114</t>
  </si>
  <si>
    <t>BRW_115</t>
  </si>
  <si>
    <t>LN_115</t>
  </si>
  <si>
    <t>BRW_116</t>
  </si>
  <si>
    <t>LN_116</t>
  </si>
  <si>
    <t>BRW_117</t>
  </si>
  <si>
    <t>LN_117</t>
  </si>
  <si>
    <t>BRW_118</t>
  </si>
  <si>
    <t>LN_118</t>
  </si>
  <si>
    <t>BRW_119</t>
  </si>
  <si>
    <t>LN_119</t>
  </si>
  <si>
    <t>BRW_120</t>
  </si>
  <si>
    <t>LN_120</t>
  </si>
  <si>
    <t>BRW_121</t>
  </si>
  <si>
    <t>LN_121</t>
  </si>
  <si>
    <t>BRW_122</t>
  </si>
  <si>
    <t>LN_122</t>
  </si>
  <si>
    <t>BRW_123</t>
  </si>
  <si>
    <t>LN_123</t>
  </si>
  <si>
    <t>BRW_124</t>
  </si>
  <si>
    <t>LN_124</t>
  </si>
  <si>
    <t>BRW_125</t>
  </si>
  <si>
    <t>LN_125</t>
  </si>
  <si>
    <t>BRW_126</t>
  </si>
  <si>
    <t>LN_126</t>
  </si>
  <si>
    <t>BRW_127</t>
  </si>
  <si>
    <t>LN_127</t>
  </si>
  <si>
    <t>BRW_128</t>
  </si>
  <si>
    <t>LN_128</t>
  </si>
  <si>
    <t>BRW_129</t>
  </si>
  <si>
    <t>LN_129</t>
  </si>
  <si>
    <t>BRW_130</t>
  </si>
  <si>
    <t>LN_130</t>
  </si>
  <si>
    <t>BRW_131</t>
  </si>
  <si>
    <t>LN_131</t>
  </si>
  <si>
    <t>BRW_132</t>
  </si>
  <si>
    <t>LN_132</t>
  </si>
  <si>
    <t>BRW_133</t>
  </si>
  <si>
    <t>LN_133</t>
  </si>
  <si>
    <t>BRW_134</t>
  </si>
  <si>
    <t>LN_134</t>
  </si>
  <si>
    <t>BRW_135</t>
  </si>
  <si>
    <t>LN_135</t>
  </si>
  <si>
    <t>BRW_136</t>
  </si>
  <si>
    <t>LN_136</t>
  </si>
  <si>
    <t>BRW_137</t>
  </si>
  <si>
    <t>LN_137</t>
  </si>
  <si>
    <t>BRW_138</t>
  </si>
  <si>
    <t>LN_138</t>
  </si>
  <si>
    <t>BRW_139</t>
  </si>
  <si>
    <t>LN_139</t>
  </si>
  <si>
    <t>BRW_140</t>
  </si>
  <si>
    <t>LN_140</t>
  </si>
  <si>
    <t>BRW_141</t>
  </si>
  <si>
    <t>LN_141</t>
  </si>
  <si>
    <t>BRW_142</t>
  </si>
  <si>
    <t>LN_142</t>
  </si>
  <si>
    <t>BRW_143</t>
  </si>
  <si>
    <t>LN_143</t>
  </si>
  <si>
    <t>BRW_144</t>
  </si>
  <si>
    <t>LN_144</t>
  </si>
  <si>
    <t>BRW_145</t>
  </si>
  <si>
    <t>LN_145</t>
  </si>
  <si>
    <t>BRW_146</t>
  </si>
  <si>
    <t>LN_146</t>
  </si>
  <si>
    <t>BRW_147</t>
  </si>
  <si>
    <t>LN_147</t>
  </si>
  <si>
    <t>BRW_148</t>
  </si>
  <si>
    <t>LN_148</t>
  </si>
  <si>
    <t>BRW_149</t>
  </si>
  <si>
    <t>LN_149</t>
  </si>
  <si>
    <t>BRW_150</t>
  </si>
  <si>
    <t>LN_150</t>
  </si>
  <si>
    <t>BRW_151</t>
  </si>
  <si>
    <t>LN_151</t>
  </si>
  <si>
    <t>BRW_152</t>
  </si>
  <si>
    <t>LN_152</t>
  </si>
  <si>
    <t>BRW_153</t>
  </si>
  <si>
    <t>LN_153</t>
  </si>
  <si>
    <t>BRW_154</t>
  </si>
  <si>
    <t>LN_154</t>
  </si>
  <si>
    <t>BRW_155</t>
  </si>
  <si>
    <t>LN_155</t>
  </si>
  <si>
    <t>BRW_156</t>
  </si>
  <si>
    <t>LN_156</t>
  </si>
  <si>
    <t>BRW_157</t>
  </si>
  <si>
    <t>LN_157</t>
  </si>
  <si>
    <t>BRW_158</t>
  </si>
  <si>
    <t>LN_158</t>
  </si>
  <si>
    <t>BRW_159</t>
  </si>
  <si>
    <t>LN_159</t>
  </si>
  <si>
    <t>BRW_160</t>
  </si>
  <si>
    <t>LN_160</t>
  </si>
  <si>
    <t>BRW_161</t>
  </si>
  <si>
    <t>LN_161</t>
  </si>
  <si>
    <t>BRW_162</t>
  </si>
  <si>
    <t>LN_162</t>
  </si>
  <si>
    <t>BRW_163</t>
  </si>
  <si>
    <t>LN_163</t>
  </si>
  <si>
    <t>BRW_164</t>
  </si>
  <si>
    <t>LN_164</t>
  </si>
  <si>
    <t>BRW_165</t>
  </si>
  <si>
    <t>LN_165</t>
  </si>
  <si>
    <t>BRW_166</t>
  </si>
  <si>
    <t>LN_166</t>
  </si>
  <si>
    <t>BRW_167</t>
  </si>
  <si>
    <t>LN_167</t>
  </si>
  <si>
    <t>BRW_168</t>
  </si>
  <si>
    <t>LN_168</t>
  </si>
  <si>
    <t>BRW_169</t>
  </si>
  <si>
    <t>LN_169</t>
  </si>
  <si>
    <t>BRW_170</t>
  </si>
  <si>
    <t>LN_170</t>
  </si>
  <si>
    <t>BRW_171</t>
  </si>
  <si>
    <t>LN_171</t>
  </si>
  <si>
    <t>BRW_172</t>
  </si>
  <si>
    <t>LN_172</t>
  </si>
  <si>
    <t>BRW_173</t>
  </si>
  <si>
    <t>LN_173</t>
  </si>
  <si>
    <t>BRW_174</t>
  </si>
  <si>
    <t>LN_174</t>
  </si>
  <si>
    <t>BRW_175</t>
  </si>
  <si>
    <t>LN_175</t>
  </si>
  <si>
    <t>BRW_176</t>
  </si>
  <si>
    <t>LN_176</t>
  </si>
  <si>
    <t>BRW_177</t>
  </si>
  <si>
    <t>LN_177</t>
  </si>
  <si>
    <t>BRW_178</t>
  </si>
  <si>
    <t>LN_178</t>
  </si>
  <si>
    <t>BRW_179</t>
  </si>
  <si>
    <t>LN_179</t>
  </si>
  <si>
    <t>BRW_180</t>
  </si>
  <si>
    <t>LN_180</t>
  </si>
  <si>
    <t>BRW_181</t>
  </si>
  <si>
    <t>LN_181</t>
  </si>
  <si>
    <t>BRW_182</t>
  </si>
  <si>
    <t>LN_182</t>
  </si>
  <si>
    <t>BRW_183</t>
  </si>
  <si>
    <t>LN_183</t>
  </si>
  <si>
    <t>BRW_184</t>
  </si>
  <si>
    <t>LN_184</t>
  </si>
  <si>
    <t>BRW_185</t>
  </si>
  <si>
    <t>LN_185</t>
  </si>
  <si>
    <t>BRW_186</t>
  </si>
  <si>
    <t>LN_186</t>
  </si>
  <si>
    <t>BRW_187</t>
  </si>
  <si>
    <t>LN_187</t>
  </si>
  <si>
    <t>BRW_188</t>
  </si>
  <si>
    <t>LN_188</t>
  </si>
  <si>
    <t>BRW_189</t>
  </si>
  <si>
    <t>LN_189</t>
  </si>
  <si>
    <t>BRW_190</t>
  </si>
  <si>
    <t>LN_190</t>
  </si>
  <si>
    <t>BRW_191</t>
  </si>
  <si>
    <t>LN_191</t>
  </si>
  <si>
    <t>BRW_192</t>
  </si>
  <si>
    <t>LN_192</t>
  </si>
  <si>
    <t>BRW_193</t>
  </si>
  <si>
    <t>LN_193</t>
  </si>
  <si>
    <t>BRW_194</t>
  </si>
  <si>
    <t>LN_194</t>
  </si>
  <si>
    <t>BRW_195</t>
  </si>
  <si>
    <t>LN_195</t>
  </si>
  <si>
    <t>BRW_196</t>
  </si>
  <si>
    <t>LN_196</t>
  </si>
  <si>
    <t>BRW_197</t>
  </si>
  <si>
    <t>LN_197</t>
  </si>
  <si>
    <t>BRW_198</t>
  </si>
  <si>
    <t>LN_198</t>
  </si>
  <si>
    <t>BRW_199</t>
  </si>
  <si>
    <t>LN_199</t>
  </si>
  <si>
    <t>BRW_200</t>
  </si>
  <si>
    <t>LN_200</t>
  </si>
  <si>
    <t>BRW_201</t>
  </si>
  <si>
    <t>LN_201</t>
  </si>
  <si>
    <t>BRW_202</t>
  </si>
  <si>
    <t>LN_202</t>
  </si>
  <si>
    <t>BRW_203</t>
  </si>
  <si>
    <t>LN_203</t>
  </si>
  <si>
    <t>BRW_204</t>
  </si>
  <si>
    <t>LN_204</t>
  </si>
  <si>
    <t>BRW_205</t>
  </si>
  <si>
    <t>LN_205</t>
  </si>
  <si>
    <t>BRW_206</t>
  </si>
  <si>
    <t>LN_206</t>
  </si>
  <si>
    <t>BRW_207</t>
  </si>
  <si>
    <t>LN_207</t>
  </si>
  <si>
    <t>BRW_208</t>
  </si>
  <si>
    <t>LN_208</t>
  </si>
  <si>
    <t>BRW_209</t>
  </si>
  <si>
    <t>LN_209</t>
  </si>
  <si>
    <t>BRW_210</t>
  </si>
  <si>
    <t>LN_210</t>
  </si>
  <si>
    <t>BRW_211</t>
  </si>
  <si>
    <t>LN_211</t>
  </si>
  <si>
    <t>BRW_212</t>
  </si>
  <si>
    <t>LN_212</t>
  </si>
  <si>
    <t>BRW_213</t>
  </si>
  <si>
    <t>LN_213</t>
  </si>
  <si>
    <t>BRW_214</t>
  </si>
  <si>
    <t>LN_214</t>
  </si>
  <si>
    <t>BRW_215</t>
  </si>
  <si>
    <t>LN_215</t>
  </si>
  <si>
    <t>BRW_216</t>
  </si>
  <si>
    <t>LN_216</t>
  </si>
  <si>
    <t>BRW_217</t>
  </si>
  <si>
    <t>LN_217</t>
  </si>
  <si>
    <t>BRW_218</t>
  </si>
  <si>
    <t>LN_218</t>
  </si>
  <si>
    <t>BRW_219</t>
  </si>
  <si>
    <t>LN_219</t>
  </si>
  <si>
    <t>BRW_220</t>
  </si>
  <si>
    <t>LN_220</t>
  </si>
  <si>
    <t>BRW_221</t>
  </si>
  <si>
    <t>LN_221</t>
  </si>
  <si>
    <t>BRW_222</t>
  </si>
  <si>
    <t>LN_222</t>
  </si>
  <si>
    <t>BRW_223</t>
  </si>
  <si>
    <t>LN_223</t>
  </si>
  <si>
    <t>BRW_224</t>
  </si>
  <si>
    <t>LN_224</t>
  </si>
  <si>
    <t>BRW_225</t>
  </si>
  <si>
    <t>LN_225</t>
  </si>
  <si>
    <t>BRW_226</t>
  </si>
  <si>
    <t>LN_226</t>
  </si>
  <si>
    <t>BRW_227</t>
  </si>
  <si>
    <t>LN_227</t>
  </si>
  <si>
    <t>BRW_228</t>
  </si>
  <si>
    <t>LN_228</t>
  </si>
  <si>
    <t>BRW_229</t>
  </si>
  <si>
    <t>LN_229</t>
  </si>
  <si>
    <t>BRW_230</t>
  </si>
  <si>
    <t>LN_230</t>
  </si>
  <si>
    <t>BRW_231</t>
  </si>
  <si>
    <t>LN_231</t>
  </si>
  <si>
    <t>BRW_232</t>
  </si>
  <si>
    <t>LN_232</t>
  </si>
  <si>
    <t>BRW_233</t>
  </si>
  <si>
    <t>LN_233</t>
  </si>
  <si>
    <t>BRW_234</t>
  </si>
  <si>
    <t>LN_234</t>
  </si>
  <si>
    <t>BRW_235</t>
  </si>
  <si>
    <t>LN_235</t>
  </si>
  <si>
    <t>BRW_236</t>
  </si>
  <si>
    <t>LN_236</t>
  </si>
  <si>
    <t>BRW_237</t>
  </si>
  <si>
    <t>LN_237</t>
  </si>
  <si>
    <t>BRW_238</t>
  </si>
  <si>
    <t>LN_238</t>
  </si>
  <si>
    <t>BRW_239</t>
  </si>
  <si>
    <t>LN_239</t>
  </si>
  <si>
    <t>BRW_240</t>
  </si>
  <si>
    <t>LN_240</t>
  </si>
  <si>
    <t>BRW_241</t>
  </si>
  <si>
    <t>LN_241</t>
  </si>
  <si>
    <t>BRW_242</t>
  </si>
  <si>
    <t>LN_242</t>
  </si>
  <si>
    <t>BRW_243</t>
  </si>
  <si>
    <t>LN_243</t>
  </si>
  <si>
    <t>BRW_244</t>
  </si>
  <si>
    <t>LN_244</t>
  </si>
  <si>
    <t>BRW_245</t>
  </si>
  <si>
    <t>LN_245</t>
  </si>
  <si>
    <t>BRW_246</t>
  </si>
  <si>
    <t>LN_246</t>
  </si>
  <si>
    <t>BRW_247</t>
  </si>
  <si>
    <t>LN_247</t>
  </si>
  <si>
    <t>BRW_248</t>
  </si>
  <si>
    <t>LN_248</t>
  </si>
  <si>
    <t>BRW_249</t>
  </si>
  <si>
    <t>LN_249</t>
  </si>
  <si>
    <t>BRW_250</t>
  </si>
  <si>
    <t>LN_250</t>
  </si>
  <si>
    <t>BRW_251</t>
  </si>
  <si>
    <t>LN_251</t>
  </si>
  <si>
    <t>BRW_252</t>
  </si>
  <si>
    <t>LN_252</t>
  </si>
  <si>
    <t>BRW_253</t>
  </si>
  <si>
    <t>LN_253</t>
  </si>
  <si>
    <t>BRW_254</t>
  </si>
  <si>
    <t>LN_254</t>
  </si>
  <si>
    <t>BRW_255</t>
  </si>
  <si>
    <t>LN_255</t>
  </si>
  <si>
    <t>BRW_256</t>
  </si>
  <si>
    <t>LN_256</t>
  </si>
  <si>
    <t>BRW_257</t>
  </si>
  <si>
    <t>LN_257</t>
  </si>
  <si>
    <t>BRW_258</t>
  </si>
  <si>
    <t>LN_258</t>
  </si>
  <si>
    <t>BRW_259</t>
  </si>
  <si>
    <t>LN_259</t>
  </si>
  <si>
    <t>BRW_260</t>
  </si>
  <si>
    <t>LN_260</t>
  </si>
  <si>
    <t>BRW_261</t>
  </si>
  <si>
    <t>LN_261</t>
  </si>
  <si>
    <t>BRW_262</t>
  </si>
  <si>
    <t>LN_262</t>
  </si>
  <si>
    <t>BRW_263</t>
  </si>
  <si>
    <t>LN_263</t>
  </si>
  <si>
    <t>BRW_264</t>
  </si>
  <si>
    <t>LN_264</t>
  </si>
  <si>
    <t>BRW_265</t>
  </si>
  <si>
    <t>LN_265</t>
  </si>
  <si>
    <t>BRW_266</t>
  </si>
  <si>
    <t>LN_266</t>
  </si>
  <si>
    <t>BRW_267</t>
  </si>
  <si>
    <t>LN_267</t>
  </si>
  <si>
    <t>BRW_268</t>
  </si>
  <si>
    <t>LN_268</t>
  </si>
  <si>
    <t>BRW_269</t>
  </si>
  <si>
    <t>LN_269</t>
  </si>
  <si>
    <t>BRW_270</t>
  </si>
  <si>
    <t>LN_270</t>
  </si>
  <si>
    <t>BRW_271</t>
  </si>
  <si>
    <t>LN_271</t>
  </si>
  <si>
    <t>BRW_272</t>
  </si>
  <si>
    <t>LN_272</t>
  </si>
  <si>
    <t>BRW_273</t>
  </si>
  <si>
    <t>LN_273</t>
  </si>
  <si>
    <t>BRW_274</t>
  </si>
  <si>
    <t>LN_274</t>
  </si>
  <si>
    <t>BRW_275</t>
  </si>
  <si>
    <t>LN_275</t>
  </si>
  <si>
    <t>BRW_276</t>
  </si>
  <si>
    <t>LN_276</t>
  </si>
  <si>
    <t>BRW_277</t>
  </si>
  <si>
    <t>LN_277</t>
  </si>
  <si>
    <t>BRW_278</t>
  </si>
  <si>
    <t>LN_278</t>
  </si>
  <si>
    <t>BRW_279</t>
  </si>
  <si>
    <t>LN_279</t>
  </si>
  <si>
    <t>BRW_280</t>
  </si>
  <si>
    <t>LN_280</t>
  </si>
  <si>
    <t>BRW_281</t>
  </si>
  <si>
    <t>LN_281</t>
  </si>
  <si>
    <t>BRW_282</t>
  </si>
  <si>
    <t>LN_282</t>
  </si>
  <si>
    <t>BRW_283</t>
  </si>
  <si>
    <t>LN_283</t>
  </si>
  <si>
    <t>BRW_284</t>
  </si>
  <si>
    <t>LN_284</t>
  </si>
  <si>
    <t>BRW_285</t>
  </si>
  <si>
    <t>LN_285</t>
  </si>
  <si>
    <t>BRW_286</t>
  </si>
  <si>
    <t>LN_286</t>
  </si>
  <si>
    <t>BRW_287</t>
  </si>
  <si>
    <t>LN_287</t>
  </si>
  <si>
    <t>BRW_288</t>
  </si>
  <si>
    <t>LN_288</t>
  </si>
  <si>
    <t>BRW_289</t>
  </si>
  <si>
    <t>LN_289</t>
  </si>
  <si>
    <t>BRW_290</t>
  </si>
  <si>
    <t>LN_290</t>
  </si>
  <si>
    <t>BRW_291</t>
  </si>
  <si>
    <t>LN_291</t>
  </si>
  <si>
    <t>BRW_292</t>
  </si>
  <si>
    <t>LN_292</t>
  </si>
  <si>
    <t>BRW_293</t>
  </si>
  <si>
    <t>LN_293</t>
  </si>
  <si>
    <t>BRW_294</t>
  </si>
  <si>
    <t>LN_294</t>
  </si>
  <si>
    <t>BRW_295</t>
  </si>
  <si>
    <t>LN_295</t>
  </si>
  <si>
    <t>BRW_296</t>
  </si>
  <si>
    <t>LN_296</t>
  </si>
  <si>
    <t>BRW_297</t>
  </si>
  <si>
    <t>LN_297</t>
  </si>
  <si>
    <t>BRW_298</t>
  </si>
  <si>
    <t>LN_298</t>
  </si>
  <si>
    <t>BRW_299</t>
  </si>
  <si>
    <t>LN_299</t>
  </si>
  <si>
    <t>BRW_300</t>
  </si>
  <si>
    <t>LN_300</t>
  </si>
  <si>
    <t>BRW_301</t>
  </si>
  <si>
    <t>LN_301</t>
  </si>
  <si>
    <t>BRW_302</t>
  </si>
  <si>
    <t>LN_302</t>
  </si>
  <si>
    <t>BRW_303</t>
  </si>
  <si>
    <t>LN_303</t>
  </si>
  <si>
    <t>BRW_304</t>
  </si>
  <si>
    <t>LN_304</t>
  </si>
  <si>
    <t>BRW_305</t>
  </si>
  <si>
    <t>LN_305</t>
  </si>
  <si>
    <t>BRW_306</t>
  </si>
  <si>
    <t>LN_306</t>
  </si>
  <si>
    <t>BRW_307</t>
  </si>
  <si>
    <t>LN_307</t>
  </si>
  <si>
    <t>BRW_308</t>
  </si>
  <si>
    <t>LN_308</t>
  </si>
  <si>
    <t>BRW_309</t>
  </si>
  <si>
    <t>LN_309</t>
  </si>
  <si>
    <t>BRW_310</t>
  </si>
  <si>
    <t>LN_310</t>
  </si>
  <si>
    <t>BRW_311</t>
  </si>
  <si>
    <t>LN_311</t>
  </si>
  <si>
    <t>BRW_312</t>
  </si>
  <si>
    <t>LN_312</t>
  </si>
  <si>
    <t>BRW_313</t>
  </si>
  <si>
    <t>LN_313</t>
  </si>
  <si>
    <t>BRW_314</t>
  </si>
  <si>
    <t>LN_314</t>
  </si>
  <si>
    <t>BRW_315</t>
  </si>
  <si>
    <t>LN_315</t>
  </si>
  <si>
    <t>BRW_316</t>
  </si>
  <si>
    <t>LN_316</t>
  </si>
  <si>
    <t>BRW_317</t>
  </si>
  <si>
    <t>LN_317</t>
  </si>
  <si>
    <t>BRW_318</t>
  </si>
  <si>
    <t>LN_318</t>
  </si>
  <si>
    <t>BRW_319</t>
  </si>
  <si>
    <t>LN_319</t>
  </si>
  <si>
    <t>BRW_320</t>
  </si>
  <si>
    <t>LN_320</t>
  </si>
  <si>
    <t>BRW_321</t>
  </si>
  <si>
    <t>LN_321</t>
  </si>
  <si>
    <t>BRW_322</t>
  </si>
  <si>
    <t>LN_322</t>
  </si>
  <si>
    <t>BRW_323</t>
  </si>
  <si>
    <t>LN_323</t>
  </si>
  <si>
    <t>BRW_324</t>
  </si>
  <si>
    <t>LN_324</t>
  </si>
  <si>
    <t>BRW_325</t>
  </si>
  <si>
    <t>LN_325</t>
  </si>
  <si>
    <t>BRW_326</t>
  </si>
  <si>
    <t>LN_326</t>
  </si>
  <si>
    <t>BRW_327</t>
  </si>
  <si>
    <t>LN_327</t>
  </si>
  <si>
    <t>BRW_328</t>
  </si>
  <si>
    <t>LN_328</t>
  </si>
  <si>
    <t>BRW_329</t>
  </si>
  <si>
    <t>LN_329</t>
  </si>
  <si>
    <t>BRW_330</t>
  </si>
  <si>
    <t>LN_330</t>
  </si>
  <si>
    <t>BRW_331</t>
  </si>
  <si>
    <t>LN_331</t>
  </si>
  <si>
    <t>BRW_332</t>
  </si>
  <si>
    <t>LN_332</t>
  </si>
  <si>
    <t>BRW_333</t>
  </si>
  <si>
    <t>LN_333</t>
  </si>
  <si>
    <t>BRW_334</t>
  </si>
  <si>
    <t>LN_334</t>
  </si>
  <si>
    <t>BRW_335</t>
  </si>
  <si>
    <t>LN_335</t>
  </si>
  <si>
    <t>BRW_336</t>
  </si>
  <si>
    <t>LN_336</t>
  </si>
  <si>
    <t>BRW_337</t>
  </si>
  <si>
    <t>LN_337</t>
  </si>
  <si>
    <t>BRW_338</t>
  </si>
  <si>
    <t>LN_338</t>
  </si>
  <si>
    <t>BRW_339</t>
  </si>
  <si>
    <t>LN_339</t>
  </si>
  <si>
    <t>BRW_340</t>
  </si>
  <si>
    <t>LN_340</t>
  </si>
  <si>
    <t>BRW_341</t>
  </si>
  <si>
    <t>LN_341</t>
  </si>
  <si>
    <t>BRW_342</t>
  </si>
  <si>
    <t>LN_342</t>
  </si>
  <si>
    <t>BRW_343</t>
  </si>
  <si>
    <t>LN_343</t>
  </si>
  <si>
    <t>BRW_344</t>
  </si>
  <si>
    <t>LN_344</t>
  </si>
  <si>
    <t>BRW_345</t>
  </si>
  <si>
    <t>LN_345</t>
  </si>
  <si>
    <t>BRW_346</t>
  </si>
  <si>
    <t>LN_346</t>
  </si>
  <si>
    <t>BRW_347</t>
  </si>
  <si>
    <t>LN_347</t>
  </si>
  <si>
    <t>BRW_348</t>
  </si>
  <si>
    <t>LN_348</t>
  </si>
  <si>
    <t>BRW_349</t>
  </si>
  <si>
    <t>LN_349</t>
  </si>
  <si>
    <t>BRW_350</t>
  </si>
  <si>
    <t>LN_350</t>
  </si>
  <si>
    <t>BRW_351</t>
  </si>
  <si>
    <t>LN_351</t>
  </si>
  <si>
    <t>BRW_352</t>
  </si>
  <si>
    <t>LN_352</t>
  </si>
  <si>
    <t>BRW_353</t>
  </si>
  <si>
    <t>LN_353</t>
  </si>
  <si>
    <t>BRW_354</t>
  </si>
  <si>
    <t>LN_354</t>
  </si>
  <si>
    <t>BRW_355</t>
  </si>
  <si>
    <t>LN_355</t>
  </si>
  <si>
    <t>BRW_356</t>
  </si>
  <si>
    <t>LN_356</t>
  </si>
  <si>
    <t>BRW_357</t>
  </si>
  <si>
    <t>LN_357</t>
  </si>
  <si>
    <t>BRW_358</t>
  </si>
  <si>
    <t>LN_358</t>
  </si>
  <si>
    <t>BRW_359</t>
  </si>
  <si>
    <t>LN_359</t>
  </si>
  <si>
    <t>BRW_360</t>
  </si>
  <si>
    <t>LN_360</t>
  </si>
  <si>
    <t>BRW_361</t>
  </si>
  <si>
    <t>LN_361</t>
  </si>
  <si>
    <t>BRW_362</t>
  </si>
  <si>
    <t>LN_362</t>
  </si>
  <si>
    <t>BRW_363</t>
  </si>
  <si>
    <t>LN_363</t>
  </si>
  <si>
    <t>BRW_364</t>
  </si>
  <si>
    <t>LN_364</t>
  </si>
  <si>
    <t>BRW_365</t>
  </si>
  <si>
    <t>LN_365</t>
  </si>
  <si>
    <t>BRW_366</t>
  </si>
  <si>
    <t>LN_366</t>
  </si>
  <si>
    <t>BRW_367</t>
  </si>
  <si>
    <t>LN_367</t>
  </si>
  <si>
    <t>BRW_368</t>
  </si>
  <si>
    <t>LN_368</t>
  </si>
  <si>
    <t>BRW_369</t>
  </si>
  <si>
    <t>LN_369</t>
  </si>
  <si>
    <t>BRW_370</t>
  </si>
  <si>
    <t>LN_370</t>
  </si>
  <si>
    <t>BRW_371</t>
  </si>
  <si>
    <t>LN_371</t>
  </si>
  <si>
    <t>BRW_372</t>
  </si>
  <si>
    <t>LN_372</t>
  </si>
  <si>
    <t>BRW_373</t>
  </si>
  <si>
    <t>LN_373</t>
  </si>
  <si>
    <t>BRW_374</t>
  </si>
  <si>
    <t>LN_374</t>
  </si>
  <si>
    <t>BRW_375</t>
  </si>
  <si>
    <t>LN_375</t>
  </si>
  <si>
    <t>BRW_376</t>
  </si>
  <si>
    <t>LN_376</t>
  </si>
  <si>
    <t>BRW_377</t>
  </si>
  <si>
    <t>LN_377</t>
  </si>
  <si>
    <t>BRW_378</t>
  </si>
  <si>
    <t>LN_378</t>
  </si>
  <si>
    <t>BRW_379</t>
  </si>
  <si>
    <t>LN_379</t>
  </si>
  <si>
    <t>BRW_380</t>
  </si>
  <si>
    <t>LN_380</t>
  </si>
  <si>
    <t>BRW_381</t>
  </si>
  <si>
    <t>LN_381</t>
  </si>
  <si>
    <t>BRW_382</t>
  </si>
  <si>
    <t>LN_382</t>
  </si>
  <si>
    <t>BRW_383</t>
  </si>
  <si>
    <t>LN_383</t>
  </si>
  <si>
    <t>BRW_384</t>
  </si>
  <si>
    <t>LN_384</t>
  </si>
  <si>
    <t>BRW_385</t>
  </si>
  <si>
    <t>LN_385</t>
  </si>
  <si>
    <t>BRW_386</t>
  </si>
  <si>
    <t>LN_386</t>
  </si>
  <si>
    <t>BRW_387</t>
  </si>
  <si>
    <t>LN_387</t>
  </si>
  <si>
    <t>BRW_388</t>
  </si>
  <si>
    <t>LN_388</t>
  </si>
  <si>
    <t>BRW_389</t>
  </si>
  <si>
    <t>LN_389</t>
  </si>
  <si>
    <t>BRW_390</t>
  </si>
  <si>
    <t>LN_390</t>
  </si>
  <si>
    <t>BRW_391</t>
  </si>
  <si>
    <t>LN_391</t>
  </si>
  <si>
    <t>BRW_392</t>
  </si>
  <si>
    <t>LN_392</t>
  </si>
  <si>
    <t>BRW_393</t>
  </si>
  <si>
    <t>LN_393</t>
  </si>
  <si>
    <t>BRW_394</t>
  </si>
  <si>
    <t>LN_394</t>
  </si>
  <si>
    <t>BRW_395</t>
  </si>
  <si>
    <t>LN_395</t>
  </si>
  <si>
    <t>BRW_396</t>
  </si>
  <si>
    <t>LN_396</t>
  </si>
  <si>
    <t>BRW_397</t>
  </si>
  <si>
    <t>LN_397</t>
  </si>
  <si>
    <t>BRW_398</t>
  </si>
  <si>
    <t>LN_398</t>
  </si>
  <si>
    <t>BRW_399</t>
  </si>
  <si>
    <t>LN_399</t>
  </si>
  <si>
    <t>BRW_400</t>
  </si>
  <si>
    <t>LN_400</t>
  </si>
  <si>
    <t>BRW_401</t>
  </si>
  <si>
    <t>LN_401</t>
  </si>
  <si>
    <t>BRW_402</t>
  </si>
  <si>
    <t>LN_402</t>
  </si>
  <si>
    <t>BRW_403</t>
  </si>
  <si>
    <t>LN_403</t>
  </si>
  <si>
    <t>BRW_404</t>
  </si>
  <si>
    <t>LN_404</t>
  </si>
  <si>
    <t>BRW_405</t>
  </si>
  <si>
    <t>LN_405</t>
  </si>
  <si>
    <t>BRW_406</t>
  </si>
  <si>
    <t>LN_406</t>
  </si>
  <si>
    <t>BRW_407</t>
  </si>
  <si>
    <t>LN_407</t>
  </si>
  <si>
    <t>BRW_408</t>
  </si>
  <si>
    <t>LN_408</t>
  </si>
  <si>
    <t>BRW_409</t>
  </si>
  <si>
    <t>LN_409</t>
  </si>
  <si>
    <t>BRW_410</t>
  </si>
  <si>
    <t>LN_410</t>
  </si>
  <si>
    <t>BRW_411</t>
  </si>
  <si>
    <t>LN_411</t>
  </si>
  <si>
    <t>BRW_412</t>
  </si>
  <si>
    <t>LN_412</t>
  </si>
  <si>
    <t>BRW_413</t>
  </si>
  <si>
    <t>LN_413</t>
  </si>
  <si>
    <t>BRW_414</t>
  </si>
  <si>
    <t>LN_414</t>
  </si>
  <si>
    <t>BRW_415</t>
  </si>
  <si>
    <t>LN_415</t>
  </si>
  <si>
    <t>BRW_416</t>
  </si>
  <si>
    <t>LN_416</t>
  </si>
  <si>
    <t>BRW_417</t>
  </si>
  <si>
    <t>LN_417</t>
  </si>
  <si>
    <t>BRW_418</t>
  </si>
  <si>
    <t>LN_418</t>
  </si>
  <si>
    <t>BRW_419</t>
  </si>
  <si>
    <t>LN_419</t>
  </si>
  <si>
    <t>BRW_420</t>
  </si>
  <si>
    <t>LN_420</t>
  </si>
  <si>
    <t>BRW_421</t>
  </si>
  <si>
    <t>LN_421</t>
  </si>
  <si>
    <t>BRW_422</t>
  </si>
  <si>
    <t>LN_422</t>
  </si>
  <si>
    <t>BRW_423</t>
  </si>
  <si>
    <t>LN_423</t>
  </si>
  <si>
    <t>BRW_424</t>
  </si>
  <si>
    <t>LN_424</t>
  </si>
  <si>
    <t>BRW_425</t>
  </si>
  <si>
    <t>LN_425</t>
  </si>
  <si>
    <t>BRW_426</t>
  </si>
  <si>
    <t>LN_426</t>
  </si>
  <si>
    <t>BRW_427</t>
  </si>
  <si>
    <t>LN_427</t>
  </si>
  <si>
    <t>BRW_428</t>
  </si>
  <si>
    <t>LN_428</t>
  </si>
  <si>
    <t>BRW_429</t>
  </si>
  <si>
    <t>LN_429</t>
  </si>
  <si>
    <t>BRW_430</t>
  </si>
  <si>
    <t>LN_430</t>
  </si>
  <si>
    <t>BRW_431</t>
  </si>
  <si>
    <t>LN_431</t>
  </si>
  <si>
    <t>BRW_432</t>
  </si>
  <si>
    <t>LN_432</t>
  </si>
  <si>
    <t>BRW_433</t>
  </si>
  <si>
    <t>LN_433</t>
  </si>
  <si>
    <t>BRW_434</t>
  </si>
  <si>
    <t>LN_434</t>
  </si>
  <si>
    <t>BRW_435</t>
  </si>
  <si>
    <t>LN_435</t>
  </si>
  <si>
    <t>BRW_436</t>
  </si>
  <si>
    <t>LN_436</t>
  </si>
  <si>
    <t>BRW_437</t>
  </si>
  <si>
    <t>LN_437</t>
  </si>
  <si>
    <t>BRW_438</t>
  </si>
  <si>
    <t>LN_438</t>
  </si>
  <si>
    <t>BRW_439</t>
  </si>
  <si>
    <t>LN_439</t>
  </si>
  <si>
    <t>BRW_440</t>
  </si>
  <si>
    <t>LN_440</t>
  </si>
  <si>
    <t>BRW_441</t>
  </si>
  <si>
    <t>LN_441</t>
  </si>
  <si>
    <t>BRW_442</t>
  </si>
  <si>
    <t>LN_442</t>
  </si>
  <si>
    <t>BRW_443</t>
  </si>
  <si>
    <t>LN_443</t>
  </si>
  <si>
    <t>BRW_444</t>
  </si>
  <si>
    <t>LN_444</t>
  </si>
  <si>
    <t>BRW_445</t>
  </si>
  <si>
    <t>LN_445</t>
  </si>
  <si>
    <t>BRW_446</t>
  </si>
  <si>
    <t>LN_446</t>
  </si>
  <si>
    <t>BRW_447</t>
  </si>
  <si>
    <t>LN_447</t>
  </si>
  <si>
    <t>BRW_448</t>
  </si>
  <si>
    <t>LN_448</t>
  </si>
  <si>
    <t>BRW_449</t>
  </si>
  <si>
    <t>LN_449</t>
  </si>
  <si>
    <t>BRW_450</t>
  </si>
  <si>
    <t>LN_450</t>
  </si>
  <si>
    <t>BRW_451</t>
  </si>
  <si>
    <t>LN_451</t>
  </si>
  <si>
    <t>BRW_452</t>
  </si>
  <si>
    <t>LN_452</t>
  </si>
  <si>
    <t>BRW_453</t>
  </si>
  <si>
    <t>LN_453</t>
  </si>
  <si>
    <t>BRW_454</t>
  </si>
  <si>
    <t>LN_454</t>
  </si>
  <si>
    <t>BRW_455</t>
  </si>
  <si>
    <t>LN_455</t>
  </si>
  <si>
    <t>BRW_456</t>
  </si>
  <si>
    <t>LN_456</t>
  </si>
  <si>
    <t>BRW_457</t>
  </si>
  <si>
    <t>LN_457</t>
  </si>
  <si>
    <t>BRW_458</t>
  </si>
  <si>
    <t>LN_458</t>
  </si>
  <si>
    <t>BRW_459</t>
  </si>
  <si>
    <t>LN_459</t>
  </si>
  <si>
    <t>BRW_460</t>
  </si>
  <si>
    <t>LN_460</t>
  </si>
  <si>
    <t>BRW_461</t>
  </si>
  <si>
    <t>LN_461</t>
  </si>
  <si>
    <t>BRW_462</t>
  </si>
  <si>
    <t>LN_462</t>
  </si>
  <si>
    <t>BRW_463</t>
  </si>
  <si>
    <t>LN_463</t>
  </si>
  <si>
    <t>BRW_464</t>
  </si>
  <si>
    <t>LN_464</t>
  </si>
  <si>
    <t>BRW_465</t>
  </si>
  <si>
    <t>LN_465</t>
  </si>
  <si>
    <t>BRW_466</t>
  </si>
  <si>
    <t>LN_466</t>
  </si>
  <si>
    <t>BRW_467</t>
  </si>
  <si>
    <t>LN_467</t>
  </si>
  <si>
    <t>BRW_468</t>
  </si>
  <si>
    <t>LN_468</t>
  </si>
  <si>
    <t>BRW_469</t>
  </si>
  <si>
    <t>LN_469</t>
  </si>
  <si>
    <t>BRW_470</t>
  </si>
  <si>
    <t>LN_470</t>
  </si>
  <si>
    <t>BRW_471</t>
  </si>
  <si>
    <t>LN_471</t>
  </si>
  <si>
    <t>BRW_472</t>
  </si>
  <si>
    <t>LN_472</t>
  </si>
  <si>
    <t>BRW_473</t>
  </si>
  <si>
    <t>LN_473</t>
  </si>
  <si>
    <t>BRW_474</t>
  </si>
  <si>
    <t>LN_474</t>
  </si>
  <si>
    <t>BRW_475</t>
  </si>
  <si>
    <t>LN_475</t>
  </si>
  <si>
    <t>BRW_476</t>
  </si>
  <si>
    <t>LN_476</t>
  </si>
  <si>
    <t>BRW_477</t>
  </si>
  <si>
    <t>LN_477</t>
  </si>
  <si>
    <t>BRW_478</t>
  </si>
  <si>
    <t>LN_478</t>
  </si>
  <si>
    <t>BRW_479</t>
  </si>
  <si>
    <t>LN_479</t>
  </si>
  <si>
    <t>BRW_480</t>
  </si>
  <si>
    <t>LN_480</t>
  </si>
  <si>
    <t>BRW_481</t>
  </si>
  <si>
    <t>LN_481</t>
  </si>
  <si>
    <t>BRW_482</t>
  </si>
  <si>
    <t>LN_482</t>
  </si>
  <si>
    <t>BRW_483</t>
  </si>
  <si>
    <t>LN_483</t>
  </si>
  <si>
    <t>BRW_484</t>
  </si>
  <si>
    <t>LN_484</t>
  </si>
  <si>
    <t>BRW_485</t>
  </si>
  <si>
    <t>LN_485</t>
  </si>
  <si>
    <t>BRW_486</t>
  </si>
  <si>
    <t>LN_486</t>
  </si>
  <si>
    <t>BRW_487</t>
  </si>
  <si>
    <t>LN_487</t>
  </si>
  <si>
    <t>BRW_488</t>
  </si>
  <si>
    <t>LN_488</t>
  </si>
  <si>
    <t>BRW_489</t>
  </si>
  <si>
    <t>LN_489</t>
  </si>
  <si>
    <t>BRW_490</t>
  </si>
  <si>
    <t>LN_490</t>
  </si>
  <si>
    <t>BRW_491</t>
  </si>
  <si>
    <t>LN_491</t>
  </si>
  <si>
    <t>BRW_492</t>
  </si>
  <si>
    <t>LN_492</t>
  </si>
  <si>
    <t>BRW_493</t>
  </si>
  <si>
    <t>LN_493</t>
  </si>
  <si>
    <t>BRW_494</t>
  </si>
  <si>
    <t>LN_494</t>
  </si>
  <si>
    <t>BRW_495</t>
  </si>
  <si>
    <t>LN_495</t>
  </si>
  <si>
    <t>BRW_496</t>
  </si>
  <si>
    <t>LN_496</t>
  </si>
  <si>
    <t>BRW_497</t>
  </si>
  <si>
    <t>LN_497</t>
  </si>
  <si>
    <t>BRW_498</t>
  </si>
  <si>
    <t>LN_498</t>
  </si>
  <si>
    <t>BRW_499</t>
  </si>
  <si>
    <t>LN_499</t>
  </si>
  <si>
    <t>BRW_500</t>
  </si>
  <si>
    <t>LN_500</t>
  </si>
  <si>
    <t>Count of Loan_ID</t>
  </si>
  <si>
    <t>Row Labels</t>
  </si>
  <si>
    <t>Sum of Loan_Amount</t>
  </si>
  <si>
    <t>Sum of Outstanding_Loan_Amount</t>
  </si>
  <si>
    <t>Column Labels</t>
  </si>
  <si>
    <t>Count of Borrower_ID</t>
  </si>
  <si>
    <t>21-30</t>
  </si>
  <si>
    <t>31-40</t>
  </si>
  <si>
    <t>41-50</t>
  </si>
  <si>
    <t>51-60</t>
  </si>
  <si>
    <t>61-70</t>
  </si>
  <si>
    <t>Average of Loan_Tenure</t>
  </si>
  <si>
    <t>Others</t>
  </si>
  <si>
    <t>Missed Payments</t>
  </si>
  <si>
    <t xml:space="preserve">Note: This data table is added when creating the chart. Errors may occur to the Color Grouping Chart if you modify or remove the data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</si>
</sst>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M&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10" xfId="0" applyBorder="1"/>
    <xf numFmtId="49" fontId="0" fillId="0" borderId="10" xfId="0" applyNumberFormat="1" applyBorder="1"/>
    <xf numFmtId="1" fontId="0" fillId="0" borderId="0" xfId="0" applyNumberFormat="1"/>
    <xf numFmtId="0" fontId="18" fillId="33" borderId="0" xfId="0" applyFont="1" applyFill="1"/>
    <xf numFmtId="9"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164" formatCode="\₦0.00,,&quot;M&quot;"/>
    </dxf>
    <dxf>
      <numFmt numFmtId="1" formatCode="0"/>
    </dxf>
    <dxf>
      <numFmt numFmtId="164" formatCode="\₦0.00,,&quot;M&quot;"/>
    </dxf>
    <dxf>
      <numFmt numFmtId="164" formatCode="\₦0.00,,&quot;M&quot;"/>
    </dxf>
    <dxf>
      <numFmt numFmtId="1" formatCode="0"/>
    </dxf>
    <dxf>
      <numFmt numFmtId="13" formatCode="0%"/>
    </dxf>
    <dxf>
      <numFmt numFmtId="13" formatCode="0%"/>
    </dxf>
    <dxf>
      <numFmt numFmtId="1" formatCode="0"/>
    </dxf>
    <dxf>
      <numFmt numFmtId="0" formatCode="General"/>
    </dxf>
    <dxf>
      <numFmt numFmtId="164" formatCode="\₦0.00,,&quot;M&quot;"/>
    </dxf>
    <dxf>
      <numFmt numFmtId="165" formatCode="0.00,,&quot;M&quot;"/>
    </dxf>
    <dxf>
      <numFmt numFmtId="165" formatCode="0.00,,&quot;M&quot;"/>
    </dxf>
    <dxf>
      <numFmt numFmtId="165" formatCode="0.00,,&quot;M&quot;"/>
    </dxf>
    <dxf>
      <numFmt numFmtId="164" formatCode="\₦0.00,,&quot;M&quot;"/>
    </dxf>
    <dxf>
      <numFmt numFmtId="13" formatCode="0%"/>
    </dxf>
    <dxf>
      <numFmt numFmtId="13" formatCode="0%"/>
    </dxf>
    <dxf>
      <numFmt numFmtId="164" formatCode="\₦0.00,,&quot;M&quot;"/>
    </dxf>
    <dxf>
      <numFmt numFmtId="164" formatCode="\₦0.00,,&quot;M&quot;"/>
    </dxf>
    <dxf>
      <numFmt numFmtId="1" formatCode="0"/>
    </dxf>
    <dxf>
      <numFmt numFmtId="164" formatCode="\₦0.00,,&quot;M&quot;"/>
    </dxf>
    <dxf>
      <numFmt numFmtId="164" formatCode="\₦0.00,,&quot;M&quot;"/>
    </dxf>
    <dxf>
      <numFmt numFmtId="1" formatCode="0"/>
    </dxf>
    <dxf>
      <numFmt numFmtId="13" formatCode="0%"/>
    </dxf>
    <dxf>
      <numFmt numFmtId="13" formatCode="0%"/>
    </dxf>
    <dxf>
      <numFmt numFmtId="1" formatCode="0"/>
    </dxf>
    <dxf>
      <numFmt numFmtId="0" formatCode="General"/>
    </dxf>
    <dxf>
      <numFmt numFmtId="164" formatCode="\₦0.00,,&quot;M&quot;"/>
    </dxf>
    <dxf>
      <numFmt numFmtId="165" formatCode="0.00,,&quot;M&quot;"/>
    </dxf>
    <dxf>
      <numFmt numFmtId="165" formatCode="0.00,,&quot;M&quot;"/>
    </dxf>
    <dxf>
      <numFmt numFmtId="165" formatCode="0.00,,&quot;M&quot;"/>
    </dxf>
    <dxf>
      <numFmt numFmtId="164" formatCode="\₦0.00,,&quot;M&quot;"/>
    </dxf>
    <dxf>
      <numFmt numFmtId="13" formatCode="0%"/>
    </dxf>
    <dxf>
      <numFmt numFmtId="13" formatCode="0%"/>
    </dxf>
    <dxf>
      <numFmt numFmtId="164"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64" formatCode="\₦0.00,,&quot;M&quot;"/>
    </dxf>
    <dxf>
      <numFmt numFmtId="0" formatCode="General"/>
    </dxf>
    <dxf>
      <numFmt numFmtId="1" formatCode="0"/>
    </dxf>
    <dxf>
      <numFmt numFmtId="164" formatCode="\₦0.00,,&quot;M&quot;"/>
    </dxf>
    <dxf>
      <numFmt numFmtId="13" formatCode="0%"/>
    </dxf>
    <dxf>
      <numFmt numFmtId="13" formatCode="0%"/>
    </dxf>
    <dxf>
      <numFmt numFmtId="13" formatCode="0%"/>
    </dxf>
    <dxf>
      <numFmt numFmtId="164" formatCode="\₦0.00,,&quot;M&quot;"/>
    </dxf>
    <dxf>
      <numFmt numFmtId="165" formatCode="0.00,,&quot;M&quot;"/>
    </dxf>
    <dxf>
      <numFmt numFmtId="165" formatCode="0.00,,&quot;M&quot;"/>
    </dxf>
    <dxf>
      <numFmt numFmtId="165" formatCode="0.00,,&quot;M&quot;"/>
    </dxf>
    <dxf>
      <numFmt numFmtId="164" formatCode="\₦0.00,,&quot;M&quot;"/>
    </dxf>
    <dxf>
      <numFmt numFmtId="1" formatCode="0"/>
    </dxf>
    <dxf>
      <numFmt numFmtId="164" formatCode="\₦0.00,,&quot;M&quot;"/>
    </dxf>
    <dxf>
      <numFmt numFmtId="164" formatCode="\₦0.00,,&quot;M&quot;"/>
    </dxf>
    <dxf>
      <numFmt numFmtId="1" formatCode="0"/>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i val="0"/>
        <sz val="11"/>
        <color theme="1"/>
        <name val="Calibri"/>
        <family val="2"/>
        <scheme val="none"/>
      </font>
      <border>
        <bottom style="thin">
          <color theme="0" tint="-0.34998626667073579"/>
        </bottom>
        <vertical/>
        <horizontal/>
      </border>
    </dxf>
    <dxf>
      <font>
        <color rgb="FFF4F6F6"/>
      </font>
      <fill>
        <patternFill>
          <bgColor rgb="FFEAEAEA"/>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color theme="1"/>
      </font>
      <fill>
        <patternFill>
          <bgColor theme="4" tint="-0.499984740745262"/>
        </patternFill>
      </fill>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Invisible" pivot="0" table="0" count="0" xr9:uid="{FE556547-5D69-471C-969C-176FF9460656}"/>
    <tableStyle name="SlicerStyleDark1 2" pivot="0" table="0" count="10" xr9:uid="{DE675367-F0A5-4CC5-9DB2-227762E20F5A}">
      <tableStyleElement type="wholeTable" dxfId="65"/>
      <tableStyleElement type="headerRow" dxfId="64"/>
    </tableStyle>
    <tableStyle name="SlicerStyleOther1 2" pivot="0" table="0" count="10" xr9:uid="{7652043A-D332-417D-BB8B-18C08AB0C238}">
      <tableStyleElement type="wholeTable" dxfId="63"/>
      <tableStyleElement type="headerRow" dxfId="62"/>
    </tableStyle>
    <tableStyle name="SlicerStyleOther2 2" pivot="0" table="0" count="10" xr9:uid="{EA5B7027-E011-4648-AAD7-FC16C937004E}">
      <tableStyleElement type="wholeTable" dxfId="61"/>
      <tableStyleElement type="headerRow" dxfId="60"/>
    </tableStyle>
  </tableStyles>
  <colors>
    <mruColors>
      <color rgb="FFE74C3C"/>
      <color rgb="FF2E86DE"/>
      <color rgb="FF0064D2"/>
      <color rgb="FFF39C12"/>
      <color rgb="FF00448E"/>
      <color rgb="FF007BFF"/>
      <color rgb="FFEAEAEA"/>
      <color rgb="FFF4F6F6"/>
      <color rgb="FF1F618D"/>
      <color rgb="FF000000"/>
    </mruColors>
  </color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sz val="10"/>
            <color rgb="FF000000"/>
            <name val="Arial"/>
            <family val="2"/>
            <scheme val="none"/>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1"/>
            <color rgb="FF000000"/>
            <name val="Calibri"/>
            <family val="2"/>
            <scheme val="none"/>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Other1 2">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s>
    <c:plotArea>
      <c:layout/>
      <c:doughnutChart>
        <c:varyColors val="1"/>
        <c:ser>
          <c:idx val="0"/>
          <c:order val="0"/>
          <c:tx>
            <c:strRef>
              <c:f>'Pivot Tables'!$I$3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4EA-4455-80AF-A541707B93D7}"/>
              </c:ext>
            </c:extLst>
          </c:dPt>
          <c:dPt>
            <c:idx val="1"/>
            <c:bubble3D val="0"/>
            <c:spPr>
              <a:solidFill>
                <a:schemeClr val="accent2"/>
              </a:solidFill>
              <a:ln w="19050">
                <a:noFill/>
              </a:ln>
              <a:effectLst/>
            </c:spPr>
            <c:extLst>
              <c:ext xmlns:c16="http://schemas.microsoft.com/office/drawing/2014/chart" uri="{C3380CC4-5D6E-409C-BE32-E72D297353CC}">
                <c16:uniqueId val="{00000003-64EA-4455-80AF-A541707B93D7}"/>
              </c:ext>
            </c:extLst>
          </c:dPt>
          <c:dPt>
            <c:idx val="2"/>
            <c:bubble3D val="0"/>
            <c:spPr>
              <a:solidFill>
                <a:schemeClr val="accent3"/>
              </a:solidFill>
              <a:ln w="19050">
                <a:noFill/>
              </a:ln>
              <a:effectLst/>
            </c:spPr>
            <c:extLst>
              <c:ext xmlns:c16="http://schemas.microsoft.com/office/drawing/2014/chart" uri="{C3380CC4-5D6E-409C-BE32-E72D297353CC}">
                <c16:uniqueId val="{00000005-64EA-4455-80AF-A541707B93D7}"/>
              </c:ext>
            </c:extLst>
          </c:dPt>
          <c:cat>
            <c:strRef>
              <c:f>'Pivot Tables'!$H$4:$H$6</c:f>
              <c:strCache>
                <c:ptCount val="3"/>
                <c:pt idx="0">
                  <c:v>Business Owner</c:v>
                </c:pt>
                <c:pt idx="1">
                  <c:v>Self-Employed</c:v>
                </c:pt>
                <c:pt idx="2">
                  <c:v>Salaried</c:v>
                </c:pt>
              </c:strCache>
            </c:strRef>
          </c:cat>
          <c:val>
            <c:numRef>
              <c:f>'Pivot Tables'!$I$4:$I$6</c:f>
              <c:numCache>
                <c:formatCode>0%</c:formatCode>
                <c:ptCount val="3"/>
                <c:pt idx="0">
                  <c:v>0.10461232741351706</c:v>
                </c:pt>
                <c:pt idx="1">
                  <c:v>0.31229610296985455</c:v>
                </c:pt>
                <c:pt idx="2">
                  <c:v>0.58309156961662845</c:v>
                </c:pt>
              </c:numCache>
            </c:numRef>
          </c:val>
          <c:extLst>
            <c:ext xmlns:c16="http://schemas.microsoft.com/office/drawing/2014/chart" uri="{C3380CC4-5D6E-409C-BE32-E72D297353CC}">
              <c16:uniqueId val="{00000000-E409-4484-9FE9-22D36A5D83A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Tables'!$P$8</c:f>
              <c:strCache>
                <c:ptCount val="1"/>
                <c:pt idx="0">
                  <c:v>Total</c:v>
                </c:pt>
              </c:strCache>
            </c:strRef>
          </c:tx>
          <c:spPr>
            <a:solidFill>
              <a:schemeClr val="accent1"/>
            </a:solidFill>
            <a:ln>
              <a:noFill/>
            </a:ln>
            <a:effectLst/>
          </c:spPr>
          <c:invertIfNegative val="0"/>
          <c:cat>
            <c:strRef>
              <c:f>'Pivot Tables'!$O$9:$O$12</c:f>
              <c:strCache>
                <c:ptCount val="4"/>
                <c:pt idx="0">
                  <c:v>Business</c:v>
                </c:pt>
                <c:pt idx="1">
                  <c:v>Auto</c:v>
                </c:pt>
                <c:pt idx="2">
                  <c:v>Home</c:v>
                </c:pt>
                <c:pt idx="3">
                  <c:v>Personal</c:v>
                </c:pt>
              </c:strCache>
            </c:strRef>
          </c:cat>
          <c:val>
            <c:numRef>
              <c:f>'Pivot Tables'!$P$9:$P$12</c:f>
              <c:numCache>
                <c:formatCode>0%</c:formatCode>
                <c:ptCount val="4"/>
                <c:pt idx="0">
                  <c:v>9.8000000000000004E-2</c:v>
                </c:pt>
                <c:pt idx="1">
                  <c:v>0.17399999999999999</c:v>
                </c:pt>
                <c:pt idx="2">
                  <c:v>0.28799999999999998</c:v>
                </c:pt>
                <c:pt idx="3">
                  <c:v>0.44</c:v>
                </c:pt>
              </c:numCache>
            </c:numRef>
          </c:val>
          <c:extLst>
            <c:ext xmlns:c16="http://schemas.microsoft.com/office/drawing/2014/chart" uri="{C3380CC4-5D6E-409C-BE32-E72D297353CC}">
              <c16:uniqueId val="{00000000-2E2C-475A-9372-B36041E264D7}"/>
            </c:ext>
          </c:extLst>
        </c:ser>
        <c:dLbls>
          <c:showLegendKey val="0"/>
          <c:showVal val="0"/>
          <c:showCatName val="0"/>
          <c:showSerName val="0"/>
          <c:showPercent val="0"/>
          <c:showBubbleSize val="0"/>
        </c:dLbls>
        <c:gapWidth val="219"/>
        <c:overlap val="-27"/>
        <c:axId val="13044687"/>
        <c:axId val="13022607"/>
      </c:barChart>
      <c:catAx>
        <c:axId val="1304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607"/>
        <c:crosses val="autoZero"/>
        <c:auto val="1"/>
        <c:lblAlgn val="ctr"/>
        <c:lblOffset val="100"/>
        <c:noMultiLvlLbl val="0"/>
      </c:catAx>
      <c:valAx>
        <c:axId val="13022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c:f>
              <c:strCache>
                <c:ptCount val="1"/>
                <c:pt idx="0">
                  <c:v>Total</c:v>
                </c:pt>
              </c:strCache>
            </c:strRef>
          </c:tx>
          <c:spPr>
            <a:solidFill>
              <a:schemeClr val="accent1"/>
            </a:solidFill>
            <a:ln>
              <a:noFill/>
            </a:ln>
            <a:effectLst/>
          </c:spPr>
          <c:invertIfNegative val="0"/>
          <c:cat>
            <c:strRef>
              <c:f>'Pivot Tables'!$K$4:$K$8</c:f>
              <c:strCache>
                <c:ptCount val="5"/>
                <c:pt idx="0">
                  <c:v>BRW_435</c:v>
                </c:pt>
                <c:pt idx="1">
                  <c:v>BRW_13</c:v>
                </c:pt>
                <c:pt idx="2">
                  <c:v>BRW_225</c:v>
                </c:pt>
                <c:pt idx="3">
                  <c:v>BRW_250</c:v>
                </c:pt>
                <c:pt idx="4">
                  <c:v>BRW_420</c:v>
                </c:pt>
              </c:strCache>
            </c:strRef>
          </c:cat>
          <c:val>
            <c:numRef>
              <c:f>'Pivot Tables'!$L$4:$L$8</c:f>
              <c:numCache>
                <c:formatCode>\₦0.00,,"M"</c:formatCode>
                <c:ptCount val="5"/>
                <c:pt idx="0">
                  <c:v>1977716</c:v>
                </c:pt>
                <c:pt idx="1">
                  <c:v>1980750</c:v>
                </c:pt>
                <c:pt idx="2">
                  <c:v>1989253</c:v>
                </c:pt>
                <c:pt idx="3">
                  <c:v>1995049</c:v>
                </c:pt>
                <c:pt idx="4">
                  <c:v>1995325</c:v>
                </c:pt>
              </c:numCache>
            </c:numRef>
          </c:val>
          <c:extLst>
            <c:ext xmlns:c16="http://schemas.microsoft.com/office/drawing/2014/chart" uri="{C3380CC4-5D6E-409C-BE32-E72D297353CC}">
              <c16:uniqueId val="{00000000-A2AB-4977-939B-2DF25D396A26}"/>
            </c:ext>
          </c:extLst>
        </c:ser>
        <c:dLbls>
          <c:showLegendKey val="0"/>
          <c:showVal val="0"/>
          <c:showCatName val="0"/>
          <c:showSerName val="0"/>
          <c:showPercent val="0"/>
          <c:showBubbleSize val="0"/>
        </c:dLbls>
        <c:gapWidth val="219"/>
        <c:axId val="13047567"/>
        <c:axId val="13024047"/>
      </c:barChart>
      <c:catAx>
        <c:axId val="1304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047"/>
        <c:crosses val="autoZero"/>
        <c:auto val="1"/>
        <c:lblAlgn val="ctr"/>
        <c:lblOffset val="100"/>
        <c:noMultiLvlLbl val="0"/>
      </c:catAx>
      <c:valAx>
        <c:axId val="13024047"/>
        <c:scaling>
          <c:orientation val="minMax"/>
        </c:scaling>
        <c:delete val="1"/>
        <c:axPos val="b"/>
        <c:numFmt formatCode="\₦0.00,,&quot;M&quot;" sourceLinked="1"/>
        <c:majorTickMark val="none"/>
        <c:minorTickMark val="none"/>
        <c:tickLblPos val="nextTo"/>
        <c:crossAx val="1304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6E-4592-A53C-61626FC032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6E-4592-A53C-61626FC03206}"/>
              </c:ext>
            </c:extLst>
          </c:dPt>
          <c:cat>
            <c:strRef>
              <c:f>'Pivot Tables'!$O$4:$O$5</c:f>
              <c:strCache>
                <c:ptCount val="2"/>
                <c:pt idx="0">
                  <c:v>Female</c:v>
                </c:pt>
                <c:pt idx="1">
                  <c:v>Male</c:v>
                </c:pt>
              </c:strCache>
            </c:strRef>
          </c:cat>
          <c:val>
            <c:numRef>
              <c:f>'Pivot Tables'!$P$4:$P$5</c:f>
              <c:numCache>
                <c:formatCode>General</c:formatCode>
                <c:ptCount val="2"/>
                <c:pt idx="0">
                  <c:v>189</c:v>
                </c:pt>
                <c:pt idx="1">
                  <c:v>311</c:v>
                </c:pt>
              </c:numCache>
            </c:numRef>
          </c:val>
          <c:extLst>
            <c:ext xmlns:c16="http://schemas.microsoft.com/office/drawing/2014/chart" uri="{C3380CC4-5D6E-409C-BE32-E72D297353CC}">
              <c16:uniqueId val="{00000000-9A02-4EDD-AC7E-F7BB0BBA55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Tables'!$R$4:$R$8</c:f>
              <c:strCache>
                <c:ptCount val="5"/>
                <c:pt idx="0">
                  <c:v>21-30</c:v>
                </c:pt>
                <c:pt idx="1">
                  <c:v>31-40</c:v>
                </c:pt>
                <c:pt idx="2">
                  <c:v>41-50</c:v>
                </c:pt>
                <c:pt idx="3">
                  <c:v>51-60</c:v>
                </c:pt>
                <c:pt idx="4">
                  <c:v>61-70</c:v>
                </c:pt>
              </c:strCache>
            </c:strRef>
          </c:cat>
          <c:val>
            <c:numRef>
              <c:f>'Pivot Tables'!$S$4:$S$8</c:f>
              <c:numCache>
                <c:formatCode>0%</c:formatCode>
                <c:ptCount val="5"/>
                <c:pt idx="0">
                  <c:v>0.218</c:v>
                </c:pt>
                <c:pt idx="1">
                  <c:v>0.186</c:v>
                </c:pt>
                <c:pt idx="2">
                  <c:v>0.25800000000000001</c:v>
                </c:pt>
                <c:pt idx="3">
                  <c:v>0.254</c:v>
                </c:pt>
                <c:pt idx="4">
                  <c:v>8.4000000000000005E-2</c:v>
                </c:pt>
              </c:numCache>
            </c:numRef>
          </c:val>
          <c:extLst>
            <c:ext xmlns:c16="http://schemas.microsoft.com/office/drawing/2014/chart" uri="{C3380CC4-5D6E-409C-BE32-E72D297353CC}">
              <c16:uniqueId val="{00000000-51BF-40FF-B35F-2B6ACD5D5AF0}"/>
            </c:ext>
          </c:extLst>
        </c:ser>
        <c:dLbls>
          <c:showLegendKey val="0"/>
          <c:showVal val="0"/>
          <c:showCatName val="0"/>
          <c:showSerName val="0"/>
          <c:showPercent val="0"/>
          <c:showBubbleSize val="0"/>
        </c:dLbls>
        <c:gapWidth val="182"/>
        <c:axId val="13052367"/>
        <c:axId val="13052847"/>
      </c:barChart>
      <c:catAx>
        <c:axId val="130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847"/>
        <c:crosses val="autoZero"/>
        <c:auto val="1"/>
        <c:lblAlgn val="ctr"/>
        <c:lblOffset val="100"/>
        <c:noMultiLvlLbl val="0"/>
      </c:catAx>
      <c:valAx>
        <c:axId val="13052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Tables'!$B$6:$B$7</c:f>
              <c:strCache>
                <c:ptCount val="1"/>
                <c:pt idx="0">
                  <c:v>Fully Recovered</c:v>
                </c:pt>
              </c:strCache>
            </c:strRef>
          </c:tx>
          <c:spPr>
            <a:solidFill>
              <a:schemeClr val="accent1"/>
            </a:solidFill>
            <a:ln>
              <a:noFill/>
            </a:ln>
            <a:effectLst/>
          </c:spPr>
          <c:invertIfNegative val="0"/>
          <c:cat>
            <c:strRef>
              <c:f>'Pivot Tables'!$A$8:$A$11</c:f>
              <c:strCache>
                <c:ptCount val="4"/>
                <c:pt idx="0">
                  <c:v>Auto</c:v>
                </c:pt>
                <c:pt idx="1">
                  <c:v>Business</c:v>
                </c:pt>
                <c:pt idx="2">
                  <c:v>Home</c:v>
                </c:pt>
                <c:pt idx="3">
                  <c:v>Personal</c:v>
                </c:pt>
              </c:strCache>
            </c:strRef>
          </c:cat>
          <c:val>
            <c:numRef>
              <c:f>'Pivot Tables'!$B$8:$B$11</c:f>
              <c:numCache>
                <c:formatCode>\₦0.00,,"M"</c:formatCode>
                <c:ptCount val="4"/>
                <c:pt idx="0">
                  <c:v>31622940.035353862</c:v>
                </c:pt>
                <c:pt idx="1">
                  <c:v>18361304.849437676</c:v>
                </c:pt>
                <c:pt idx="2">
                  <c:v>58138125.23045671</c:v>
                </c:pt>
                <c:pt idx="3">
                  <c:v>65336943.358809665</c:v>
                </c:pt>
              </c:numCache>
            </c:numRef>
          </c:val>
          <c:extLst>
            <c:ext xmlns:c16="http://schemas.microsoft.com/office/drawing/2014/chart" uri="{C3380CC4-5D6E-409C-BE32-E72D297353CC}">
              <c16:uniqueId val="{00000000-6806-4502-87D2-5AF2D3577B24}"/>
            </c:ext>
          </c:extLst>
        </c:ser>
        <c:ser>
          <c:idx val="1"/>
          <c:order val="1"/>
          <c:tx>
            <c:strRef>
              <c:f>'Pivot Tables'!$C$6:$C$7</c:f>
              <c:strCache>
                <c:ptCount val="1"/>
                <c:pt idx="0">
                  <c:v>Partially Recovered</c:v>
                </c:pt>
              </c:strCache>
            </c:strRef>
          </c:tx>
          <c:spPr>
            <a:solidFill>
              <a:schemeClr val="accent2"/>
            </a:solidFill>
            <a:ln>
              <a:noFill/>
            </a:ln>
            <a:effectLst/>
          </c:spPr>
          <c:invertIfNegative val="0"/>
          <c:cat>
            <c:strRef>
              <c:f>'Pivot Tables'!$A$8:$A$11</c:f>
              <c:strCache>
                <c:ptCount val="4"/>
                <c:pt idx="0">
                  <c:v>Auto</c:v>
                </c:pt>
                <c:pt idx="1">
                  <c:v>Business</c:v>
                </c:pt>
                <c:pt idx="2">
                  <c:v>Home</c:v>
                </c:pt>
                <c:pt idx="3">
                  <c:v>Personal</c:v>
                </c:pt>
              </c:strCache>
            </c:strRef>
          </c:cat>
          <c:val>
            <c:numRef>
              <c:f>'Pivot Tables'!$C$8:$C$11</c:f>
              <c:numCache>
                <c:formatCode>\₦0.00,,"M"</c:formatCode>
                <c:ptCount val="4"/>
                <c:pt idx="0">
                  <c:v>13243438.70321817</c:v>
                </c:pt>
                <c:pt idx="1">
                  <c:v>7289312.7515314203</c:v>
                </c:pt>
                <c:pt idx="2">
                  <c:v>20567807.642937545</c:v>
                </c:pt>
                <c:pt idx="3">
                  <c:v>44018533.639799982</c:v>
                </c:pt>
              </c:numCache>
            </c:numRef>
          </c:val>
          <c:extLst>
            <c:ext xmlns:c16="http://schemas.microsoft.com/office/drawing/2014/chart" uri="{C3380CC4-5D6E-409C-BE32-E72D297353CC}">
              <c16:uniqueId val="{00000002-FA13-430E-B2FD-A64B2FA4ECFE}"/>
            </c:ext>
          </c:extLst>
        </c:ser>
        <c:ser>
          <c:idx val="2"/>
          <c:order val="2"/>
          <c:tx>
            <c:strRef>
              <c:f>'Pivot Tables'!$D$6:$D$7</c:f>
              <c:strCache>
                <c:ptCount val="1"/>
                <c:pt idx="0">
                  <c:v>Written Off</c:v>
                </c:pt>
              </c:strCache>
            </c:strRef>
          </c:tx>
          <c:spPr>
            <a:solidFill>
              <a:schemeClr val="accent3"/>
            </a:solidFill>
            <a:ln>
              <a:noFill/>
            </a:ln>
            <a:effectLst/>
          </c:spPr>
          <c:invertIfNegative val="0"/>
          <c:cat>
            <c:strRef>
              <c:f>'Pivot Tables'!$A$8:$A$11</c:f>
              <c:strCache>
                <c:ptCount val="4"/>
                <c:pt idx="0">
                  <c:v>Auto</c:v>
                </c:pt>
                <c:pt idx="1">
                  <c:v>Business</c:v>
                </c:pt>
                <c:pt idx="2">
                  <c:v>Home</c:v>
                </c:pt>
                <c:pt idx="3">
                  <c:v>Personal</c:v>
                </c:pt>
              </c:strCache>
            </c:strRef>
          </c:cat>
          <c:val>
            <c:numRef>
              <c:f>'Pivot Tables'!$D$8:$D$11</c:f>
              <c:numCache>
                <c:formatCode>\₦0.00,,"M"</c:formatCode>
                <c:ptCount val="4"/>
                <c:pt idx="0">
                  <c:v>2894331.4897875106</c:v>
                </c:pt>
                <c:pt idx="1">
                  <c:v>4082090.7202103627</c:v>
                </c:pt>
                <c:pt idx="2">
                  <c:v>3304848.4249299797</c:v>
                </c:pt>
                <c:pt idx="3">
                  <c:v>12503311.495668733</c:v>
                </c:pt>
              </c:numCache>
            </c:numRef>
          </c:val>
          <c:extLst>
            <c:ext xmlns:c16="http://schemas.microsoft.com/office/drawing/2014/chart" uri="{C3380CC4-5D6E-409C-BE32-E72D297353CC}">
              <c16:uniqueId val="{00000003-FA13-430E-B2FD-A64B2FA4ECFE}"/>
            </c:ext>
          </c:extLst>
        </c:ser>
        <c:dLbls>
          <c:showLegendKey val="0"/>
          <c:showVal val="0"/>
          <c:showCatName val="0"/>
          <c:showSerName val="0"/>
          <c:showPercent val="0"/>
          <c:showBubbleSize val="0"/>
        </c:dLbls>
        <c:gapWidth val="219"/>
        <c:overlap val="-27"/>
        <c:axId val="13003887"/>
        <c:axId val="13016367"/>
      </c:barChart>
      <c:catAx>
        <c:axId val="1300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6367"/>
        <c:crosses val="autoZero"/>
        <c:auto val="1"/>
        <c:lblAlgn val="ctr"/>
        <c:lblOffset val="100"/>
        <c:noMultiLvlLbl val="0"/>
      </c:catAx>
      <c:valAx>
        <c:axId val="13016367"/>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Tables'!$J$31</c:f>
              <c:strCache>
                <c:ptCount val="1"/>
                <c:pt idx="0">
                  <c:v>Total</c:v>
                </c:pt>
              </c:strCache>
            </c:strRef>
          </c:tx>
          <c:spPr>
            <a:solidFill>
              <a:schemeClr val="accent1"/>
            </a:solidFill>
            <a:ln>
              <a:noFill/>
            </a:ln>
            <a:effectLst/>
          </c:spPr>
          <c:invertIfNegative val="0"/>
          <c:cat>
            <c:strRef>
              <c:f>'Pivot Tables'!$I$32:$I$35</c:f>
              <c:strCache>
                <c:ptCount val="4"/>
                <c:pt idx="0">
                  <c:v>Calls</c:v>
                </c:pt>
                <c:pt idx="1">
                  <c:v>Debt Collectors</c:v>
                </c:pt>
                <c:pt idx="2">
                  <c:v>Legal Notice</c:v>
                </c:pt>
                <c:pt idx="3">
                  <c:v>Settlement Offer</c:v>
                </c:pt>
              </c:strCache>
            </c:strRef>
          </c:cat>
          <c:val>
            <c:numRef>
              <c:f>'Pivot Tables'!$J$32:$J$35</c:f>
              <c:numCache>
                <c:formatCode>0</c:formatCode>
                <c:ptCount val="4"/>
                <c:pt idx="0">
                  <c:v>130497629</c:v>
                </c:pt>
                <c:pt idx="1">
                  <c:v>130149708</c:v>
                </c:pt>
                <c:pt idx="2">
                  <c:v>136185135</c:v>
                </c:pt>
                <c:pt idx="3">
                  <c:v>115621044</c:v>
                </c:pt>
              </c:numCache>
            </c:numRef>
          </c:val>
          <c:extLst>
            <c:ext xmlns:c16="http://schemas.microsoft.com/office/drawing/2014/chart" uri="{C3380CC4-5D6E-409C-BE32-E72D297353CC}">
              <c16:uniqueId val="{00000000-2B5D-47E9-8F6E-A87167A8D46A}"/>
            </c:ext>
          </c:extLst>
        </c:ser>
        <c:dLbls>
          <c:showLegendKey val="0"/>
          <c:showVal val="0"/>
          <c:showCatName val="0"/>
          <c:showSerName val="0"/>
          <c:showPercent val="0"/>
          <c:showBubbleSize val="0"/>
        </c:dLbls>
        <c:gapWidth val="219"/>
        <c:overlap val="-27"/>
        <c:axId val="2051222160"/>
        <c:axId val="2051223600"/>
      </c:barChart>
      <c:catAx>
        <c:axId val="205122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23600"/>
        <c:crosses val="autoZero"/>
        <c:auto val="1"/>
        <c:lblAlgn val="ctr"/>
        <c:lblOffset val="100"/>
        <c:noMultiLvlLbl val="0"/>
      </c:catAx>
      <c:valAx>
        <c:axId val="2051223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2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Tables'!$O$9:$O$12</c:f>
              <c:strCache>
                <c:ptCount val="4"/>
                <c:pt idx="0">
                  <c:v>Business</c:v>
                </c:pt>
                <c:pt idx="1">
                  <c:v>Auto</c:v>
                </c:pt>
                <c:pt idx="2">
                  <c:v>Home</c:v>
                </c:pt>
                <c:pt idx="3">
                  <c:v>Personal</c:v>
                </c:pt>
              </c:strCache>
            </c:strRef>
          </c:cat>
          <c:val>
            <c:numRef>
              <c:f>'Pivot Tables'!$P$9:$P$12</c:f>
              <c:numCache>
                <c:formatCode>0%</c:formatCode>
                <c:ptCount val="4"/>
                <c:pt idx="0">
                  <c:v>9.8000000000000004E-2</c:v>
                </c:pt>
                <c:pt idx="1">
                  <c:v>0.17399999999999999</c:v>
                </c:pt>
                <c:pt idx="2">
                  <c:v>0.28799999999999998</c:v>
                </c:pt>
                <c:pt idx="3">
                  <c:v>0.44</c:v>
                </c:pt>
              </c:numCache>
            </c:numRef>
          </c:val>
          <c:extLst>
            <c:ext xmlns:c16="http://schemas.microsoft.com/office/drawing/2014/chart" uri="{C3380CC4-5D6E-409C-BE32-E72D297353CC}">
              <c16:uniqueId val="{00000000-3B80-4236-A4D3-CCC803BA7503}"/>
            </c:ext>
          </c:extLst>
        </c:ser>
        <c:dLbls>
          <c:showLegendKey val="0"/>
          <c:showVal val="0"/>
          <c:showCatName val="0"/>
          <c:showSerName val="0"/>
          <c:showPercent val="0"/>
          <c:showBubbleSize val="0"/>
        </c:dLbls>
        <c:gapWidth val="219"/>
        <c:overlap val="-27"/>
        <c:axId val="1976656608"/>
        <c:axId val="1976658528"/>
      </c:barChart>
      <c:catAx>
        <c:axId val="197665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58528"/>
        <c:crosses val="autoZero"/>
        <c:auto val="1"/>
        <c:lblAlgn val="ctr"/>
        <c:lblOffset val="100"/>
        <c:noMultiLvlLbl val="0"/>
      </c:catAx>
      <c:valAx>
        <c:axId val="1976658528"/>
        <c:scaling>
          <c:orientation val="minMax"/>
        </c:scaling>
        <c:delete val="1"/>
        <c:axPos val="l"/>
        <c:numFmt formatCode="0%" sourceLinked="1"/>
        <c:majorTickMark val="none"/>
        <c:minorTickMark val="none"/>
        <c:tickLblPos val="nextTo"/>
        <c:crossAx val="197665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Tables!PivotTable15</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Tables'!$T$13</c:f>
              <c:strCache>
                <c:ptCount val="1"/>
                <c:pt idx="0">
                  <c:v>Sum of Loan_Amount</c:v>
                </c:pt>
              </c:strCache>
            </c:strRef>
          </c:tx>
          <c:spPr>
            <a:solidFill>
              <a:schemeClr val="accent1"/>
            </a:solidFill>
            <a:ln>
              <a:noFill/>
            </a:ln>
            <a:effectLst/>
          </c:spPr>
          <c:invertIfNegative val="0"/>
          <c:cat>
            <c:strRef>
              <c:f>'Pivot Tables'!$S$14:$S$19</c:f>
              <c:strCache>
                <c:ptCount val="6"/>
                <c:pt idx="0">
                  <c:v>12</c:v>
                </c:pt>
                <c:pt idx="1">
                  <c:v>24</c:v>
                </c:pt>
                <c:pt idx="2">
                  <c:v>36</c:v>
                </c:pt>
                <c:pt idx="3">
                  <c:v>48</c:v>
                </c:pt>
                <c:pt idx="4">
                  <c:v>60</c:v>
                </c:pt>
                <c:pt idx="5">
                  <c:v>72</c:v>
                </c:pt>
              </c:strCache>
            </c:strRef>
          </c:cat>
          <c:val>
            <c:numRef>
              <c:f>'Pivot Tables'!$T$14:$T$19</c:f>
              <c:numCache>
                <c:formatCode>\₦0.00,,"M"</c:formatCode>
                <c:ptCount val="6"/>
                <c:pt idx="0">
                  <c:v>45397385</c:v>
                </c:pt>
                <c:pt idx="1">
                  <c:v>56466359</c:v>
                </c:pt>
                <c:pt idx="2">
                  <c:v>112137378</c:v>
                </c:pt>
                <c:pt idx="3">
                  <c:v>104924774</c:v>
                </c:pt>
                <c:pt idx="4">
                  <c:v>106701823</c:v>
                </c:pt>
                <c:pt idx="5">
                  <c:v>86825797</c:v>
                </c:pt>
              </c:numCache>
            </c:numRef>
          </c:val>
          <c:extLst>
            <c:ext xmlns:c16="http://schemas.microsoft.com/office/drawing/2014/chart" uri="{C3380CC4-5D6E-409C-BE32-E72D297353CC}">
              <c16:uniqueId val="{00000000-1B50-40CB-B193-3F13646AD196}"/>
            </c:ext>
          </c:extLst>
        </c:ser>
        <c:dLbls>
          <c:showLegendKey val="0"/>
          <c:showVal val="0"/>
          <c:showCatName val="0"/>
          <c:showSerName val="0"/>
          <c:showPercent val="0"/>
          <c:showBubbleSize val="0"/>
        </c:dLbls>
        <c:gapWidth val="150"/>
        <c:axId val="1378296912"/>
        <c:axId val="1378297392"/>
      </c:barChart>
      <c:lineChart>
        <c:grouping val="standard"/>
        <c:varyColors val="0"/>
        <c:ser>
          <c:idx val="1"/>
          <c:order val="1"/>
          <c:tx>
            <c:strRef>
              <c:f>'Pivot Tables'!$U$13</c:f>
              <c:strCache>
                <c:ptCount val="1"/>
                <c:pt idx="0">
                  <c:v>Sum of Outstanding_Loan_Amount</c:v>
                </c:pt>
              </c:strCache>
            </c:strRef>
          </c:tx>
          <c:spPr>
            <a:ln w="28575" cap="rnd">
              <a:solidFill>
                <a:schemeClr val="accent2"/>
              </a:solidFill>
              <a:round/>
            </a:ln>
            <a:effectLst/>
          </c:spPr>
          <c:marker>
            <c:symbol val="none"/>
          </c:marker>
          <c:cat>
            <c:strRef>
              <c:f>'Pivot Tables'!$S$14:$S$19</c:f>
              <c:strCache>
                <c:ptCount val="6"/>
                <c:pt idx="0">
                  <c:v>12</c:v>
                </c:pt>
                <c:pt idx="1">
                  <c:v>24</c:v>
                </c:pt>
                <c:pt idx="2">
                  <c:v>36</c:v>
                </c:pt>
                <c:pt idx="3">
                  <c:v>48</c:v>
                </c:pt>
                <c:pt idx="4">
                  <c:v>60</c:v>
                </c:pt>
                <c:pt idx="5">
                  <c:v>72</c:v>
                </c:pt>
              </c:strCache>
            </c:strRef>
          </c:cat>
          <c:val>
            <c:numRef>
              <c:f>'Pivot Tables'!$U$14:$U$19</c:f>
              <c:numCache>
                <c:formatCode>\₦0.00,,"M"</c:formatCode>
                <c:ptCount val="6"/>
                <c:pt idx="0">
                  <c:v>24658775.061014071</c:v>
                </c:pt>
                <c:pt idx="1">
                  <c:v>33748662.369114205</c:v>
                </c:pt>
                <c:pt idx="2">
                  <c:v>59711460.42457965</c:v>
                </c:pt>
                <c:pt idx="3">
                  <c:v>55143429.25159882</c:v>
                </c:pt>
                <c:pt idx="4">
                  <c:v>57889661.139327459</c:v>
                </c:pt>
                <c:pt idx="5">
                  <c:v>50211000.096507378</c:v>
                </c:pt>
              </c:numCache>
            </c:numRef>
          </c:val>
          <c:smooth val="0"/>
          <c:extLst>
            <c:ext xmlns:c16="http://schemas.microsoft.com/office/drawing/2014/chart" uri="{C3380CC4-5D6E-409C-BE32-E72D297353CC}">
              <c16:uniqueId val="{00000002-4132-4761-8FDB-514C33FB6E61}"/>
            </c:ext>
          </c:extLst>
        </c:ser>
        <c:dLbls>
          <c:showLegendKey val="0"/>
          <c:showVal val="0"/>
          <c:showCatName val="0"/>
          <c:showSerName val="0"/>
          <c:showPercent val="0"/>
          <c:showBubbleSize val="0"/>
        </c:dLbls>
        <c:marker val="1"/>
        <c:smooth val="0"/>
        <c:axId val="1378296912"/>
        <c:axId val="1378297392"/>
      </c:lineChart>
      <c:catAx>
        <c:axId val="13782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297392"/>
        <c:crosses val="autoZero"/>
        <c:auto val="1"/>
        <c:lblAlgn val="ctr"/>
        <c:lblOffset val="100"/>
        <c:noMultiLvlLbl val="0"/>
      </c:catAx>
      <c:valAx>
        <c:axId val="1378297392"/>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2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Tables!PivotTable2</c:name>
    <c:fmtId val="6"/>
  </c:pivotSource>
  <c:chart>
    <c:title>
      <c:tx>
        <c:rich>
          <a:bodyPr rot="0" spcFirstLastPara="1" vertOverflow="ellipsis" vert="horz" wrap="square" anchor="ctr" anchorCtr="1"/>
          <a:lstStyle/>
          <a:p>
            <a:pPr>
              <a:defRPr lang="en-US" sz="1600" b="1" i="0" u="none" strike="noStrike" kern="1200" spc="0" baseline="0">
                <a:solidFill>
                  <a:schemeClr val="accent2">
                    <a:lumMod val="50000"/>
                  </a:schemeClr>
                </a:solidFill>
                <a:latin typeface="Arial" panose="020B0604020202020204" pitchFamily="34" charset="0"/>
                <a:ea typeface="+mn-ea"/>
                <a:cs typeface="Arial" panose="020B0604020202020204" pitchFamily="34" charset="0"/>
              </a:defRPr>
            </a:pPr>
            <a:r>
              <a:rPr lang="en-US" sz="1200" b="1" i="0" u="none" strike="noStrike" kern="1200" spc="0" baseline="0">
                <a:solidFill>
                  <a:schemeClr val="tx1"/>
                </a:solidFill>
                <a:latin typeface="Arial" panose="020B0604020202020204" pitchFamily="34" charset="0"/>
                <a:ea typeface="+mn-ea"/>
                <a:cs typeface="Arial" panose="020B0604020202020204" pitchFamily="34" charset="0"/>
              </a:rPr>
              <a:t>% Distribution By Loan Type</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accent2">
                  <a:lumMod val="50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007BFF"/>
          </a:solidFill>
          <a:ln>
            <a:noFill/>
          </a:ln>
          <a:effectLst/>
        </c:spPr>
      </c:pivotFmt>
      <c:pivotFmt>
        <c:idx val="5"/>
        <c:spPr>
          <a:solidFill>
            <a:srgbClr val="007BFF"/>
          </a:solidFill>
          <a:ln>
            <a:noFill/>
          </a:ln>
          <a:effectLst/>
        </c:spPr>
      </c:pivotFmt>
      <c:pivotFmt>
        <c:idx val="6"/>
        <c:spPr>
          <a:solidFill>
            <a:srgbClr val="00448E"/>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pivotFmt>
      <c:pivotFmt>
        <c:idx val="9"/>
        <c:spPr>
          <a:solidFill>
            <a:srgbClr val="007BFF"/>
          </a:solidFill>
          <a:ln>
            <a:noFill/>
          </a:ln>
          <a:effectLst/>
        </c:spPr>
      </c:pivotFmt>
      <c:pivotFmt>
        <c:idx val="10"/>
        <c:spPr>
          <a:solidFill>
            <a:srgbClr val="007BFF"/>
          </a:solidFill>
          <a:ln>
            <a:noFill/>
          </a:ln>
          <a:effectLst/>
        </c:spPr>
      </c:pivotFmt>
      <c:pivotFmt>
        <c:idx val="11"/>
        <c:spPr>
          <a:solidFill>
            <a:srgbClr val="00448E"/>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pivotFmt>
      <c:pivotFmt>
        <c:idx val="14"/>
        <c:spPr>
          <a:solidFill>
            <a:srgbClr val="007BFF"/>
          </a:solidFill>
          <a:ln>
            <a:noFill/>
          </a:ln>
          <a:effectLst/>
        </c:spPr>
      </c:pivotFmt>
      <c:pivotFmt>
        <c:idx val="15"/>
        <c:spPr>
          <a:solidFill>
            <a:srgbClr val="007BFF"/>
          </a:solidFill>
          <a:ln>
            <a:noFill/>
          </a:ln>
          <a:effectLst/>
        </c:spPr>
      </c:pivotFmt>
      <c:pivotFmt>
        <c:idx val="16"/>
        <c:spPr>
          <a:solidFill>
            <a:srgbClr val="00448E"/>
          </a:solidFill>
          <a:ln>
            <a:noFill/>
          </a:ln>
          <a:effectLst/>
        </c:spPr>
      </c:pivotFmt>
    </c:pivotFmts>
    <c:plotArea>
      <c:layout>
        <c:manualLayout>
          <c:layoutTarget val="inner"/>
          <c:xMode val="edge"/>
          <c:yMode val="edge"/>
          <c:x val="0.2265455279628508"/>
          <c:y val="0.18848751835535979"/>
          <c:w val="0.73071942930210643"/>
          <c:h val="0.71753303964757709"/>
        </c:manualLayout>
      </c:layout>
      <c:barChart>
        <c:barDir val="bar"/>
        <c:grouping val="clustered"/>
        <c:varyColors val="0"/>
        <c:ser>
          <c:idx val="0"/>
          <c:order val="0"/>
          <c:tx>
            <c:strRef>
              <c:f>'Pivot Tables'!$P$8</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5B5B-4360-B809-F0E56BBA0131}"/>
              </c:ext>
            </c:extLst>
          </c:dPt>
          <c:dPt>
            <c:idx val="1"/>
            <c:invertIfNegative val="0"/>
            <c:bubble3D val="0"/>
            <c:spPr>
              <a:solidFill>
                <a:srgbClr val="007BFF"/>
              </a:solidFill>
              <a:ln>
                <a:noFill/>
              </a:ln>
              <a:effectLst/>
            </c:spPr>
            <c:extLst>
              <c:ext xmlns:c16="http://schemas.microsoft.com/office/drawing/2014/chart" uri="{C3380CC4-5D6E-409C-BE32-E72D297353CC}">
                <c16:uniqueId val="{00000003-5B5B-4360-B809-F0E56BBA0131}"/>
              </c:ext>
            </c:extLst>
          </c:dPt>
          <c:dPt>
            <c:idx val="2"/>
            <c:invertIfNegative val="0"/>
            <c:bubble3D val="0"/>
            <c:spPr>
              <a:solidFill>
                <a:srgbClr val="007BFF"/>
              </a:solidFill>
              <a:ln>
                <a:noFill/>
              </a:ln>
              <a:effectLst/>
            </c:spPr>
            <c:extLst>
              <c:ext xmlns:c16="http://schemas.microsoft.com/office/drawing/2014/chart" uri="{C3380CC4-5D6E-409C-BE32-E72D297353CC}">
                <c16:uniqueId val="{00000005-5B5B-4360-B809-F0E56BBA0131}"/>
              </c:ext>
            </c:extLst>
          </c:dPt>
          <c:dPt>
            <c:idx val="3"/>
            <c:invertIfNegative val="0"/>
            <c:bubble3D val="0"/>
            <c:spPr>
              <a:solidFill>
                <a:srgbClr val="00448E"/>
              </a:solidFill>
              <a:ln>
                <a:noFill/>
              </a:ln>
              <a:effectLst/>
            </c:spPr>
            <c:extLst>
              <c:ext xmlns:c16="http://schemas.microsoft.com/office/drawing/2014/chart" uri="{C3380CC4-5D6E-409C-BE32-E72D297353CC}">
                <c16:uniqueId val="{00000007-5B5B-4360-B809-F0E56BBA0131}"/>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Tables'!$O$9:$O$12</c:f>
              <c:strCache>
                <c:ptCount val="4"/>
                <c:pt idx="0">
                  <c:v>Business</c:v>
                </c:pt>
                <c:pt idx="1">
                  <c:v>Auto</c:v>
                </c:pt>
                <c:pt idx="2">
                  <c:v>Home</c:v>
                </c:pt>
                <c:pt idx="3">
                  <c:v>Personal</c:v>
                </c:pt>
              </c:strCache>
            </c:strRef>
          </c:cat>
          <c:val>
            <c:numRef>
              <c:f>'Pivot Tables'!$P$9:$P$12</c:f>
              <c:numCache>
                <c:formatCode>0%</c:formatCode>
                <c:ptCount val="4"/>
                <c:pt idx="0">
                  <c:v>9.8000000000000004E-2</c:v>
                </c:pt>
                <c:pt idx="1">
                  <c:v>0.17399999999999999</c:v>
                </c:pt>
                <c:pt idx="2">
                  <c:v>0.28799999999999998</c:v>
                </c:pt>
                <c:pt idx="3">
                  <c:v>0.44</c:v>
                </c:pt>
              </c:numCache>
            </c:numRef>
          </c:val>
          <c:extLst>
            <c:ext xmlns:c16="http://schemas.microsoft.com/office/drawing/2014/chart" uri="{C3380CC4-5D6E-409C-BE32-E72D297353CC}">
              <c16:uniqueId val="{00000008-5B5B-4360-B809-F0E56BBA0131}"/>
            </c:ext>
          </c:extLst>
        </c:ser>
        <c:dLbls>
          <c:showLegendKey val="0"/>
          <c:showVal val="0"/>
          <c:showCatName val="0"/>
          <c:showSerName val="0"/>
          <c:showPercent val="0"/>
          <c:showBubbleSize val="0"/>
        </c:dLbls>
        <c:gapWidth val="350"/>
        <c:axId val="1976656608"/>
        <c:axId val="1976658528"/>
      </c:barChart>
      <c:catAx>
        <c:axId val="19766566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976658528"/>
        <c:crosses val="autoZero"/>
        <c:auto val="1"/>
        <c:lblAlgn val="ctr"/>
        <c:lblOffset val="100"/>
        <c:noMultiLvlLbl val="0"/>
      </c:catAx>
      <c:valAx>
        <c:axId val="1976658528"/>
        <c:scaling>
          <c:orientation val="minMax"/>
        </c:scaling>
        <c:delete val="1"/>
        <c:axPos val="b"/>
        <c:numFmt formatCode="0%" sourceLinked="1"/>
        <c:majorTickMark val="none"/>
        <c:minorTickMark val="none"/>
        <c:tickLblPos val="nextTo"/>
        <c:crossAx val="197665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Age Distribution</a:t>
            </a:r>
            <a:r>
              <a:rPr lang="en-US" sz="1200" b="1" baseline="0">
                <a:solidFill>
                  <a:schemeClr val="tx1"/>
                </a:solidFill>
              </a:rPr>
              <a:t> </a:t>
            </a:r>
            <a:r>
              <a:rPr lang="en-US" sz="1100" b="1" baseline="0">
                <a:solidFill>
                  <a:schemeClr val="tx1"/>
                </a:solidFill>
                <a:latin typeface="Arial" panose="020B0604020202020204" pitchFamily="34" charset="0"/>
                <a:cs typeface="Arial" panose="020B0604020202020204" pitchFamily="34" charset="0"/>
              </a:rPr>
              <a:t>Of Debtors</a:t>
            </a:r>
            <a:endParaRPr lang="en-US" sz="1100" b="1">
              <a:solidFill>
                <a:schemeClr val="tx1"/>
              </a:solidFill>
              <a:latin typeface="Arial" panose="020B0604020202020204" pitchFamily="34" charset="0"/>
              <a:cs typeface="Arial" panose="020B0604020202020204" pitchFamily="34" charset="0"/>
            </a:endParaRPr>
          </a:p>
        </c:rich>
      </c:tx>
      <c:layout>
        <c:manualLayout>
          <c:xMode val="edge"/>
          <c:yMode val="edge"/>
          <c:x val="0.21839407008797268"/>
          <c:y val="1.2123583004505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BFF"/>
          </a:solidFill>
          <a:ln>
            <a:noFill/>
          </a:ln>
          <a:effectLst/>
        </c:spPr>
      </c:pivotFmt>
      <c:pivotFmt>
        <c:idx val="4"/>
        <c:spPr>
          <a:solidFill>
            <a:srgbClr val="007BFF"/>
          </a:solidFill>
          <a:ln>
            <a:noFill/>
          </a:ln>
          <a:effectLst/>
        </c:spPr>
      </c:pivotFmt>
      <c:pivotFmt>
        <c:idx val="5"/>
        <c:spPr>
          <a:solidFill>
            <a:srgbClr val="007BFF"/>
          </a:solidFill>
          <a:ln>
            <a:noFill/>
          </a:ln>
          <a:effectLst/>
        </c:spPr>
      </c:pivotFmt>
      <c:pivotFmt>
        <c:idx val="6"/>
        <c:spPr>
          <a:solidFill>
            <a:srgbClr val="00448E"/>
          </a:solidFill>
          <a:ln>
            <a:noFill/>
          </a:ln>
          <a:effectLst/>
        </c:spPr>
      </c:pivotFmt>
      <c:pivotFmt>
        <c:idx val="7"/>
        <c:spPr>
          <a:solidFill>
            <a:srgbClr val="0064D2"/>
          </a:solidFill>
          <a:ln>
            <a:noFill/>
          </a:ln>
          <a:effectLst/>
        </c:spPr>
      </c:pivotFmt>
    </c:pivotFmts>
    <c:plotArea>
      <c:layout/>
      <c:barChart>
        <c:barDir val="col"/>
        <c:grouping val="clustered"/>
        <c:varyColors val="0"/>
        <c:ser>
          <c:idx val="0"/>
          <c:order val="0"/>
          <c:tx>
            <c:strRef>
              <c:f>'Pivot Tables'!$S$3</c:f>
              <c:strCache>
                <c:ptCount val="1"/>
                <c:pt idx="0">
                  <c:v>Total</c:v>
                </c:pt>
              </c:strCache>
            </c:strRef>
          </c:tx>
          <c:spPr>
            <a:solidFill>
              <a:srgbClr val="007BFF"/>
            </a:solidFill>
            <a:ln>
              <a:noFill/>
            </a:ln>
            <a:effectLst/>
          </c:spPr>
          <c:invertIfNegative val="0"/>
          <c:dPt>
            <c:idx val="2"/>
            <c:invertIfNegative val="0"/>
            <c:bubble3D val="0"/>
            <c:spPr>
              <a:solidFill>
                <a:srgbClr val="00448E"/>
              </a:solidFill>
              <a:ln>
                <a:noFill/>
              </a:ln>
              <a:effectLst/>
            </c:spPr>
            <c:extLst>
              <c:ext xmlns:c16="http://schemas.microsoft.com/office/drawing/2014/chart" uri="{C3380CC4-5D6E-409C-BE32-E72D297353CC}">
                <c16:uniqueId val="{00000003-327C-4195-8FFD-408B10FEAECB}"/>
              </c:ext>
            </c:extLst>
          </c:dPt>
          <c:dPt>
            <c:idx val="3"/>
            <c:invertIfNegative val="0"/>
            <c:bubble3D val="0"/>
            <c:spPr>
              <a:solidFill>
                <a:srgbClr val="0064D2"/>
              </a:solidFill>
              <a:ln>
                <a:noFill/>
              </a:ln>
              <a:effectLst/>
            </c:spPr>
            <c:extLst>
              <c:ext xmlns:c16="http://schemas.microsoft.com/office/drawing/2014/chart" uri="{C3380CC4-5D6E-409C-BE32-E72D297353CC}">
                <c16:uniqueId val="{00000004-327C-4195-8FFD-408B10FEAEC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Tables'!$R$4:$R$8</c:f>
              <c:strCache>
                <c:ptCount val="5"/>
                <c:pt idx="0">
                  <c:v>21-30</c:v>
                </c:pt>
                <c:pt idx="1">
                  <c:v>31-40</c:v>
                </c:pt>
                <c:pt idx="2">
                  <c:v>41-50</c:v>
                </c:pt>
                <c:pt idx="3">
                  <c:v>51-60</c:v>
                </c:pt>
                <c:pt idx="4">
                  <c:v>61-70</c:v>
                </c:pt>
              </c:strCache>
            </c:strRef>
          </c:cat>
          <c:val>
            <c:numRef>
              <c:f>'Pivot Tables'!$S$4:$S$8</c:f>
              <c:numCache>
                <c:formatCode>0%</c:formatCode>
                <c:ptCount val="5"/>
                <c:pt idx="0">
                  <c:v>0.218</c:v>
                </c:pt>
                <c:pt idx="1">
                  <c:v>0.186</c:v>
                </c:pt>
                <c:pt idx="2">
                  <c:v>0.25800000000000001</c:v>
                </c:pt>
                <c:pt idx="3">
                  <c:v>0.254</c:v>
                </c:pt>
                <c:pt idx="4">
                  <c:v>8.4000000000000005E-2</c:v>
                </c:pt>
              </c:numCache>
            </c:numRef>
          </c:val>
          <c:extLst>
            <c:ext xmlns:c16="http://schemas.microsoft.com/office/drawing/2014/chart" uri="{C3380CC4-5D6E-409C-BE32-E72D297353CC}">
              <c16:uniqueId val="{00000000-2BE5-4EBB-A46D-60A75B50EA46}"/>
            </c:ext>
          </c:extLst>
        </c:ser>
        <c:dLbls>
          <c:showLegendKey val="0"/>
          <c:showVal val="0"/>
          <c:showCatName val="0"/>
          <c:showSerName val="0"/>
          <c:showPercent val="0"/>
          <c:showBubbleSize val="0"/>
        </c:dLbls>
        <c:gapWidth val="450"/>
        <c:axId val="13052367"/>
        <c:axId val="13052847"/>
      </c:barChart>
      <c:catAx>
        <c:axId val="13052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052847"/>
        <c:crosses val="autoZero"/>
        <c:auto val="1"/>
        <c:lblAlgn val="ctr"/>
        <c:lblOffset val="100"/>
        <c:noMultiLvlLbl val="0"/>
      </c:catAx>
      <c:valAx>
        <c:axId val="13052847"/>
        <c:scaling>
          <c:orientation val="minMax"/>
        </c:scaling>
        <c:delete val="1"/>
        <c:axPos val="l"/>
        <c:numFmt formatCode="0%" sourceLinked="1"/>
        <c:majorTickMark val="none"/>
        <c:minorTickMark val="none"/>
        <c:tickLblPos val="nextTo"/>
        <c:crossAx val="130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tx1"/>
                </a:solidFill>
                <a:latin typeface="Arial" panose="020B0604020202020204" pitchFamily="34" charset="0"/>
                <a:cs typeface="Arial" panose="020B0604020202020204" pitchFamily="34" charset="0"/>
              </a:rPr>
              <a:t>Recovery</a:t>
            </a:r>
            <a:r>
              <a:rPr lang="en-GB" sz="1200" b="1" baseline="0">
                <a:solidFill>
                  <a:schemeClr val="tx1"/>
                </a:solidFill>
                <a:latin typeface="Arial" panose="020B0604020202020204" pitchFamily="34" charset="0"/>
                <a:cs typeface="Arial" panose="020B0604020202020204" pitchFamily="34" charset="0"/>
              </a:rPr>
              <a:t> Status By Loan Type</a:t>
            </a:r>
            <a:endParaRPr lang="en-GB" sz="12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Tables'!$B$6:$B$7</c:f>
              <c:strCache>
                <c:ptCount val="1"/>
                <c:pt idx="0">
                  <c:v>Fully Recovered</c:v>
                </c:pt>
              </c:strCache>
            </c:strRef>
          </c:tx>
          <c:spPr>
            <a:solidFill>
              <a:srgbClr val="002060"/>
            </a:solidFill>
            <a:ln>
              <a:noFill/>
            </a:ln>
            <a:effectLst/>
          </c:spPr>
          <c:invertIfNegative val="0"/>
          <c:cat>
            <c:strRef>
              <c:f>'Pivot Tables'!$A$8:$A$11</c:f>
              <c:strCache>
                <c:ptCount val="4"/>
                <c:pt idx="0">
                  <c:v>Auto</c:v>
                </c:pt>
                <c:pt idx="1">
                  <c:v>Business</c:v>
                </c:pt>
                <c:pt idx="2">
                  <c:v>Home</c:v>
                </c:pt>
                <c:pt idx="3">
                  <c:v>Personal</c:v>
                </c:pt>
              </c:strCache>
            </c:strRef>
          </c:cat>
          <c:val>
            <c:numRef>
              <c:f>'Pivot Tables'!$B$8:$B$11</c:f>
              <c:numCache>
                <c:formatCode>\₦0.00,,"M"</c:formatCode>
                <c:ptCount val="4"/>
                <c:pt idx="0">
                  <c:v>31622940.035353862</c:v>
                </c:pt>
                <c:pt idx="1">
                  <c:v>18361304.849437676</c:v>
                </c:pt>
                <c:pt idx="2">
                  <c:v>58138125.23045671</c:v>
                </c:pt>
                <c:pt idx="3">
                  <c:v>65336943.358809665</c:v>
                </c:pt>
              </c:numCache>
            </c:numRef>
          </c:val>
          <c:extLst>
            <c:ext xmlns:c16="http://schemas.microsoft.com/office/drawing/2014/chart" uri="{C3380CC4-5D6E-409C-BE32-E72D297353CC}">
              <c16:uniqueId val="{00000001-3132-4C74-BFC3-32B698B724D1}"/>
            </c:ext>
          </c:extLst>
        </c:ser>
        <c:ser>
          <c:idx val="0"/>
          <c:order val="1"/>
          <c:tx>
            <c:strRef>
              <c:f>'Pivot Tables'!$C$6:$C$7</c:f>
              <c:strCache>
                <c:ptCount val="1"/>
                <c:pt idx="0">
                  <c:v>Partially Recovered</c:v>
                </c:pt>
              </c:strCache>
            </c:strRef>
          </c:tx>
          <c:spPr>
            <a:solidFill>
              <a:srgbClr val="00B0F0"/>
            </a:solidFill>
            <a:ln>
              <a:noFill/>
            </a:ln>
            <a:effectLst/>
          </c:spPr>
          <c:invertIfNegative val="0"/>
          <c:cat>
            <c:strRef>
              <c:f>'Pivot Tables'!$A$8:$A$11</c:f>
              <c:strCache>
                <c:ptCount val="4"/>
                <c:pt idx="0">
                  <c:v>Auto</c:v>
                </c:pt>
                <c:pt idx="1">
                  <c:v>Business</c:v>
                </c:pt>
                <c:pt idx="2">
                  <c:v>Home</c:v>
                </c:pt>
                <c:pt idx="3">
                  <c:v>Personal</c:v>
                </c:pt>
              </c:strCache>
            </c:strRef>
          </c:cat>
          <c:val>
            <c:numRef>
              <c:f>'Pivot Tables'!$C$8:$C$11</c:f>
              <c:numCache>
                <c:formatCode>\₦0.00,,"M"</c:formatCode>
                <c:ptCount val="4"/>
                <c:pt idx="0">
                  <c:v>13243438.70321817</c:v>
                </c:pt>
                <c:pt idx="1">
                  <c:v>7289312.7515314203</c:v>
                </c:pt>
                <c:pt idx="2">
                  <c:v>20567807.642937545</c:v>
                </c:pt>
                <c:pt idx="3">
                  <c:v>44018533.639799982</c:v>
                </c:pt>
              </c:numCache>
            </c:numRef>
          </c:val>
          <c:extLst>
            <c:ext xmlns:c16="http://schemas.microsoft.com/office/drawing/2014/chart" uri="{C3380CC4-5D6E-409C-BE32-E72D297353CC}">
              <c16:uniqueId val="{00000003-A73A-408E-A964-2B98A65CC0B5}"/>
            </c:ext>
          </c:extLst>
        </c:ser>
        <c:ser>
          <c:idx val="2"/>
          <c:order val="2"/>
          <c:tx>
            <c:strRef>
              <c:f>'Pivot Tables'!$D$6:$D$7</c:f>
              <c:strCache>
                <c:ptCount val="1"/>
                <c:pt idx="0">
                  <c:v>Written Off</c:v>
                </c:pt>
              </c:strCache>
            </c:strRef>
          </c:tx>
          <c:spPr>
            <a:solidFill>
              <a:srgbClr val="E74C3C"/>
            </a:solidFill>
            <a:ln>
              <a:noFill/>
            </a:ln>
            <a:effectLst/>
          </c:spPr>
          <c:invertIfNegative val="0"/>
          <c:cat>
            <c:strRef>
              <c:f>'Pivot Tables'!$A$8:$A$11</c:f>
              <c:strCache>
                <c:ptCount val="4"/>
                <c:pt idx="0">
                  <c:v>Auto</c:v>
                </c:pt>
                <c:pt idx="1">
                  <c:v>Business</c:v>
                </c:pt>
                <c:pt idx="2">
                  <c:v>Home</c:v>
                </c:pt>
                <c:pt idx="3">
                  <c:v>Personal</c:v>
                </c:pt>
              </c:strCache>
            </c:strRef>
          </c:cat>
          <c:val>
            <c:numRef>
              <c:f>'Pivot Tables'!$D$8:$D$11</c:f>
              <c:numCache>
                <c:formatCode>\₦0.00,,"M"</c:formatCode>
                <c:ptCount val="4"/>
                <c:pt idx="0">
                  <c:v>2894331.4897875106</c:v>
                </c:pt>
                <c:pt idx="1">
                  <c:v>4082090.7202103627</c:v>
                </c:pt>
                <c:pt idx="2">
                  <c:v>3304848.4249299797</c:v>
                </c:pt>
                <c:pt idx="3">
                  <c:v>12503311.495668733</c:v>
                </c:pt>
              </c:numCache>
            </c:numRef>
          </c:val>
          <c:extLst>
            <c:ext xmlns:c16="http://schemas.microsoft.com/office/drawing/2014/chart" uri="{C3380CC4-5D6E-409C-BE32-E72D297353CC}">
              <c16:uniqueId val="{00000004-A73A-408E-A964-2B98A65CC0B5}"/>
            </c:ext>
          </c:extLst>
        </c:ser>
        <c:dLbls>
          <c:showLegendKey val="0"/>
          <c:showVal val="0"/>
          <c:showCatName val="0"/>
          <c:showSerName val="0"/>
          <c:showPercent val="0"/>
          <c:showBubbleSize val="0"/>
        </c:dLbls>
        <c:gapWidth val="350"/>
        <c:overlap val="60"/>
        <c:axId val="13003887"/>
        <c:axId val="13016367"/>
      </c:barChart>
      <c:catAx>
        <c:axId val="13003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016367"/>
        <c:crosses val="autoZero"/>
        <c:auto val="1"/>
        <c:lblAlgn val="ctr"/>
        <c:lblOffset val="100"/>
        <c:noMultiLvlLbl val="0"/>
      </c:catAx>
      <c:valAx>
        <c:axId val="1301636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Verdana" panose="020B0604030504040204" pitchFamily="34" charset="0"/>
                <a:cs typeface="Segoe UI" panose="020B0502040204020203" pitchFamily="34" charset="0"/>
              </a:defRPr>
            </a:pPr>
            <a:endParaRPr lang="en-US"/>
          </a:p>
        </c:txPr>
        <c:crossAx val="13003887"/>
        <c:crosses val="autoZero"/>
        <c:crossBetween val="between"/>
        <c:majorUnit val="20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Tables!PivotTable3</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Employment Classes</a:t>
            </a:r>
            <a:r>
              <a:rPr lang="en-US" sz="1200" b="1" baseline="0">
                <a:solidFill>
                  <a:schemeClr val="tx1"/>
                </a:solidFill>
                <a:latin typeface="Arial" panose="020B0604020202020204" pitchFamily="34" charset="0"/>
                <a:cs typeface="Arial" panose="020B0604020202020204" pitchFamily="34" charset="0"/>
              </a:rPr>
              <a:t> </a:t>
            </a:r>
            <a:r>
              <a:rPr lang="en-US" sz="1200" b="1">
                <a:solidFill>
                  <a:schemeClr val="tx1"/>
                </a:solidFill>
                <a:latin typeface="Arial" panose="020B0604020202020204" pitchFamily="34" charset="0"/>
                <a:cs typeface="Arial" panose="020B0604020202020204" pitchFamily="34" charset="0"/>
              </a:rPr>
              <a:t>Of Borrowers</a:t>
            </a:r>
          </a:p>
        </c:rich>
      </c:tx>
      <c:layout>
        <c:manualLayout>
          <c:xMode val="edge"/>
          <c:yMode val="edge"/>
          <c:x val="0.12598313210848644"/>
          <c:y val="2.308536090234734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rgbClr val="5DADE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86DE"/>
          </a:solidFill>
          <a:ln w="19050">
            <a:noFill/>
          </a:ln>
          <a:effectLst/>
        </c:spPr>
      </c:pivotFmt>
      <c:pivotFmt>
        <c:idx val="10"/>
        <c:spPr>
          <a:solidFill>
            <a:srgbClr val="00448E"/>
          </a:solidFill>
          <a:ln w="19050">
            <a:noFill/>
          </a:ln>
          <a:effectLst/>
        </c:spPr>
      </c:pivotFmt>
      <c:pivotFmt>
        <c:idx val="11"/>
        <c:spPr>
          <a:solidFill>
            <a:srgbClr val="2E86DE"/>
          </a:solidFill>
          <a:ln w="19050">
            <a:noFill/>
          </a:ln>
          <a:effectLst/>
        </c:spPr>
      </c:pivotFmt>
    </c:pivotFmts>
    <c:plotArea>
      <c:layout>
        <c:manualLayout>
          <c:layoutTarget val="inner"/>
          <c:xMode val="edge"/>
          <c:yMode val="edge"/>
          <c:x val="0.38212535433070866"/>
          <c:y val="0.16436116546810228"/>
          <c:w val="0.45713293986142761"/>
          <c:h val="0.72603477990212739"/>
        </c:manualLayout>
      </c:layout>
      <c:barChart>
        <c:barDir val="bar"/>
        <c:grouping val="clustered"/>
        <c:varyColors val="0"/>
        <c:ser>
          <c:idx val="0"/>
          <c:order val="0"/>
          <c:tx>
            <c:strRef>
              <c:f>'Pivot Tables'!$I$3</c:f>
              <c:strCache>
                <c:ptCount val="1"/>
                <c:pt idx="0">
                  <c:v>Total</c:v>
                </c:pt>
              </c:strCache>
            </c:strRef>
          </c:tx>
          <c:spPr>
            <a:solidFill>
              <a:srgbClr val="5DADE2"/>
            </a:solidFill>
            <a:ln w="19050">
              <a:noFill/>
            </a:ln>
            <a:effectLst/>
          </c:spPr>
          <c:invertIfNegative val="0"/>
          <c:dPt>
            <c:idx val="0"/>
            <c:invertIfNegative val="0"/>
            <c:bubble3D val="0"/>
            <c:spPr>
              <a:solidFill>
                <a:srgbClr val="2E86DE"/>
              </a:solidFill>
              <a:ln w="19050">
                <a:noFill/>
              </a:ln>
              <a:effectLst/>
            </c:spPr>
            <c:extLst>
              <c:ext xmlns:c16="http://schemas.microsoft.com/office/drawing/2014/chart" uri="{C3380CC4-5D6E-409C-BE32-E72D297353CC}">
                <c16:uniqueId val="{00000001-F11A-4903-A9C1-5686E96401C1}"/>
              </c:ext>
            </c:extLst>
          </c:dPt>
          <c:dPt>
            <c:idx val="1"/>
            <c:invertIfNegative val="0"/>
            <c:bubble3D val="0"/>
            <c:spPr>
              <a:solidFill>
                <a:srgbClr val="2E86DE"/>
              </a:solidFill>
              <a:ln w="19050">
                <a:noFill/>
              </a:ln>
              <a:effectLst/>
            </c:spPr>
            <c:extLst>
              <c:ext xmlns:c16="http://schemas.microsoft.com/office/drawing/2014/chart" uri="{C3380CC4-5D6E-409C-BE32-E72D297353CC}">
                <c16:uniqueId val="{00000003-F11A-4903-A9C1-5686E96401C1}"/>
              </c:ext>
            </c:extLst>
          </c:dPt>
          <c:dPt>
            <c:idx val="2"/>
            <c:invertIfNegative val="0"/>
            <c:bubble3D val="0"/>
            <c:spPr>
              <a:solidFill>
                <a:srgbClr val="00448E"/>
              </a:solidFill>
              <a:ln w="19050">
                <a:noFill/>
              </a:ln>
              <a:effectLst/>
            </c:spPr>
            <c:extLst>
              <c:ext xmlns:c16="http://schemas.microsoft.com/office/drawing/2014/chart" uri="{C3380CC4-5D6E-409C-BE32-E72D297353CC}">
                <c16:uniqueId val="{00000005-F11A-4903-A9C1-5686E96401C1}"/>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Tables'!$H$4:$H$6</c:f>
              <c:strCache>
                <c:ptCount val="3"/>
                <c:pt idx="0">
                  <c:v>Business Owner</c:v>
                </c:pt>
                <c:pt idx="1">
                  <c:v>Self-Employed</c:v>
                </c:pt>
                <c:pt idx="2">
                  <c:v>Salaried</c:v>
                </c:pt>
              </c:strCache>
            </c:strRef>
          </c:cat>
          <c:val>
            <c:numRef>
              <c:f>'Pivot Tables'!$I$4:$I$6</c:f>
              <c:numCache>
                <c:formatCode>0%</c:formatCode>
                <c:ptCount val="3"/>
                <c:pt idx="0">
                  <c:v>0.10461232741351706</c:v>
                </c:pt>
                <c:pt idx="1">
                  <c:v>0.31229610296985455</c:v>
                </c:pt>
                <c:pt idx="2">
                  <c:v>0.58309156961662845</c:v>
                </c:pt>
              </c:numCache>
            </c:numRef>
          </c:val>
          <c:extLst>
            <c:ext xmlns:c16="http://schemas.microsoft.com/office/drawing/2014/chart" uri="{C3380CC4-5D6E-409C-BE32-E72D297353CC}">
              <c16:uniqueId val="{00000006-F11A-4903-A9C1-5686E96401C1}"/>
            </c:ext>
          </c:extLst>
        </c:ser>
        <c:dLbls>
          <c:dLblPos val="outEnd"/>
          <c:showLegendKey val="0"/>
          <c:showVal val="1"/>
          <c:showCatName val="0"/>
          <c:showSerName val="0"/>
          <c:showPercent val="0"/>
          <c:showBubbleSize val="0"/>
        </c:dLbls>
        <c:gapWidth val="450"/>
        <c:axId val="2049069855"/>
        <c:axId val="2049069375"/>
      </c:barChart>
      <c:valAx>
        <c:axId val="2049069375"/>
        <c:scaling>
          <c:orientation val="minMax"/>
        </c:scaling>
        <c:delete val="1"/>
        <c:axPos val="b"/>
        <c:numFmt formatCode="0%" sourceLinked="1"/>
        <c:majorTickMark val="out"/>
        <c:minorTickMark val="none"/>
        <c:tickLblPos val="nextTo"/>
        <c:crossAx val="2049069855"/>
        <c:crosses val="autoZero"/>
        <c:crossBetween val="between"/>
      </c:valAx>
      <c:catAx>
        <c:axId val="20490698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049069375"/>
        <c:crosses val="autoZero"/>
        <c:auto val="1"/>
        <c:lblAlgn val="ctr"/>
        <c:lblOffset val="2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333333"/>
                </a:solidFill>
                <a:latin typeface="Arial" panose="020B0604020202020204" pitchFamily="34" charset="0"/>
                <a:cs typeface="Arial" panose="020B0604020202020204" pitchFamily="34" charset="0"/>
              </a:rPr>
              <a:t>Gender</a:t>
            </a:r>
            <a:r>
              <a:rPr lang="en-US" sz="1200" b="1" baseline="0">
                <a:solidFill>
                  <a:srgbClr val="333333"/>
                </a:solidFill>
                <a:latin typeface="Arial" panose="020B0604020202020204" pitchFamily="34" charset="0"/>
                <a:cs typeface="Arial" panose="020B0604020202020204" pitchFamily="34" charset="0"/>
              </a:rPr>
              <a:t> Distribution Of Borrowers</a:t>
            </a:r>
            <a:endParaRPr lang="en-US" sz="1200" b="1">
              <a:solidFill>
                <a:srgbClr val="333333"/>
              </a:solidFill>
              <a:latin typeface="Arial" panose="020B0604020202020204" pitchFamily="34" charset="0"/>
              <a:cs typeface="Arial" panose="020B0604020202020204" pitchFamily="34" charset="0"/>
            </a:endParaRPr>
          </a:p>
        </c:rich>
      </c:tx>
      <c:layout>
        <c:manualLayout>
          <c:xMode val="edge"/>
          <c:yMode val="edge"/>
          <c:x val="0.17344027996500438"/>
          <c:y val="2.446500437445319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1F618D"/>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0064D2"/>
          </a:solidFill>
          <a:ln w="19050">
            <a:noFill/>
          </a:ln>
          <a:effectLst/>
        </c:spPr>
        <c:dLbl>
          <c:idx val="0"/>
          <c:layout>
            <c:manualLayout>
              <c:x val="9.2444444444444315E-2"/>
              <c:y val="-5.5555555555556572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002060"/>
          </a:solidFill>
          <a:ln w="19050">
            <a:noFill/>
          </a:ln>
          <a:effectLst/>
        </c:spPr>
        <c:dLbl>
          <c:idx val="0"/>
          <c:layout>
            <c:manualLayout>
              <c:x val="-0.10185609151797202"/>
              <c:y val="-4.444458728373239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0934546914312222"/>
          <c:y val="0.28207278144286019"/>
          <c:w val="0.37459228344016254"/>
          <c:h val="0.66987917050909174"/>
        </c:manualLayout>
      </c:layout>
      <c:doughnutChart>
        <c:varyColors val="1"/>
        <c:ser>
          <c:idx val="0"/>
          <c:order val="0"/>
          <c:tx>
            <c:strRef>
              <c:f>'Pivot Tables'!$P$3</c:f>
              <c:strCache>
                <c:ptCount val="1"/>
                <c:pt idx="0">
                  <c:v>Total</c:v>
                </c:pt>
              </c:strCache>
            </c:strRef>
          </c:tx>
          <c:spPr>
            <a:solidFill>
              <a:srgbClr val="1F618D"/>
            </a:solidFill>
          </c:spPr>
          <c:dPt>
            <c:idx val="0"/>
            <c:bubble3D val="0"/>
            <c:spPr>
              <a:solidFill>
                <a:srgbClr val="0064D2"/>
              </a:solidFill>
              <a:ln w="19050">
                <a:noFill/>
              </a:ln>
              <a:effectLst/>
            </c:spPr>
            <c:extLst>
              <c:ext xmlns:c16="http://schemas.microsoft.com/office/drawing/2014/chart" uri="{C3380CC4-5D6E-409C-BE32-E72D297353CC}">
                <c16:uniqueId val="{00000001-35F1-48C1-B0ED-93E413ABC267}"/>
              </c:ext>
            </c:extLst>
          </c:dPt>
          <c:dPt>
            <c:idx val="1"/>
            <c:bubble3D val="0"/>
            <c:spPr>
              <a:solidFill>
                <a:srgbClr val="002060"/>
              </a:solidFill>
              <a:ln w="19050">
                <a:noFill/>
              </a:ln>
              <a:effectLst/>
            </c:spPr>
            <c:extLst>
              <c:ext xmlns:c16="http://schemas.microsoft.com/office/drawing/2014/chart" uri="{C3380CC4-5D6E-409C-BE32-E72D297353CC}">
                <c16:uniqueId val="{00000003-35F1-48C1-B0ED-93E413ABC267}"/>
              </c:ext>
            </c:extLst>
          </c:dPt>
          <c:dLbls>
            <c:dLbl>
              <c:idx val="0"/>
              <c:layout>
                <c:manualLayout>
                  <c:x val="9.2444444444444315E-2"/>
                  <c:y val="-5.555555555555657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F1-48C1-B0ED-93E413ABC267}"/>
                </c:ext>
              </c:extLst>
            </c:dLbl>
            <c:dLbl>
              <c:idx val="1"/>
              <c:layout>
                <c:manualLayout>
                  <c:x val="-0.10185609151797202"/>
                  <c:y val="-4.44445872837323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F1-48C1-B0ED-93E413ABC267}"/>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Tables'!$O$4:$O$5</c:f>
              <c:strCache>
                <c:ptCount val="2"/>
                <c:pt idx="0">
                  <c:v>Female</c:v>
                </c:pt>
                <c:pt idx="1">
                  <c:v>Male</c:v>
                </c:pt>
              </c:strCache>
            </c:strRef>
          </c:cat>
          <c:val>
            <c:numRef>
              <c:f>'Pivot Tables'!$P$4:$P$5</c:f>
              <c:numCache>
                <c:formatCode>General</c:formatCode>
                <c:ptCount val="2"/>
                <c:pt idx="0">
                  <c:v>189</c:v>
                </c:pt>
                <c:pt idx="1">
                  <c:v>311</c:v>
                </c:pt>
              </c:numCache>
            </c:numRef>
          </c:val>
          <c:extLst>
            <c:ext xmlns:c16="http://schemas.microsoft.com/office/drawing/2014/chart" uri="{C3380CC4-5D6E-409C-BE32-E72D297353CC}">
              <c16:uniqueId val="{00000004-35F1-48C1-B0ED-93E413ABC267}"/>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30861001040536329"/>
          <c:y val="0.15669676611524477"/>
          <c:w val="0.37869795687303792"/>
          <c:h val="9.8868070062670718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latin typeface="Arial" panose="020B0604020202020204" pitchFamily="34" charset="0"/>
                <a:ea typeface="+mn-ea"/>
                <a:cs typeface="Arial" panose="020B0604020202020204" pitchFamily="34" charset="0"/>
              </a:rPr>
              <a:t>Top 5 </a:t>
            </a:r>
            <a:r>
              <a:rPr lang="en-US" sz="1200" b="1">
                <a:solidFill>
                  <a:schemeClr val="tx1"/>
                </a:solidFill>
                <a:latin typeface="Arial" panose="020B0604020202020204" pitchFamily="34" charset="0"/>
                <a:cs typeface="Arial" panose="020B0604020202020204" pitchFamily="34" charset="0"/>
              </a:rPr>
              <a:t>Debtors</a:t>
            </a:r>
          </a:p>
        </c:rich>
      </c:tx>
      <c:layout>
        <c:manualLayout>
          <c:xMode val="edge"/>
          <c:yMode val="edge"/>
          <c:x val="0.32259034252408597"/>
          <c:y val="2.16160634241707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BFF"/>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48E"/>
          </a:solidFill>
          <a:ln>
            <a:noFill/>
          </a:ln>
          <a:effectLst/>
        </c:spPr>
        <c:dLbl>
          <c:idx val="0"/>
          <c:tx>
            <c:rich>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fld id="{AA418902-6FFC-4419-B16D-608F9B24EBAB}" type="VALUE">
                  <a:rPr lang="en-US" sz="800" b="1" i="0" u="none" strike="noStrike" kern="1200" baseline="0">
                    <a:solidFill>
                      <a:schemeClr val="tx1"/>
                    </a:solidFill>
                    <a:latin typeface="Segoe UI" panose="020B0502040204020203" pitchFamily="34" charset="0"/>
                    <a:ea typeface="+mn-ea"/>
                    <a:cs typeface="Segoe UI" panose="020B0502040204020203" pitchFamily="34" charset="0"/>
                  </a:rPr>
                  <a:pPr>
                    <a:defRPr lang="en-US" sz="800" b="1">
                      <a:solidFill>
                        <a:schemeClr val="tx1"/>
                      </a:solidFill>
                      <a:latin typeface="Segoe UI" panose="020B0502040204020203" pitchFamily="34" charset="0"/>
                      <a:cs typeface="Segoe UI" panose="020B0502040204020203" pitchFamily="34" charset="0"/>
                    </a:defRPr>
                  </a:pPr>
                  <a:t>[VALUE]</a:t>
                </a:fld>
                <a:endParaRPr lang="en-GB"/>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448E"/>
          </a:solidFill>
          <a:ln>
            <a:noFill/>
          </a:ln>
          <a:effectLst/>
        </c:spPr>
        <c:dLbl>
          <c:idx val="0"/>
          <c:tx>
            <c:rich>
              <a:bodyPr rot="0" spcFirstLastPara="1" vertOverflow="ellipsis" vert="horz" wrap="square" lIns="38100" tIns="19050" rIns="38100" bIns="19050" anchor="ctr" anchorCtr="0">
                <a:spAutoFit/>
              </a:bodyPr>
              <a:lstStyle/>
              <a:p>
                <a:pPr algn="ctr" rtl="0">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fld id="{D0A615E6-869E-444B-B57B-28997EED33BA}" type="VALUE">
                  <a:rPr lang="en-US" sz="800" b="1" i="0" u="none" strike="noStrike" kern="1200" baseline="0">
                    <a:solidFill>
                      <a:schemeClr val="tx1"/>
                    </a:solidFill>
                    <a:latin typeface="Segoe UI" panose="020B0502040204020203" pitchFamily="34" charset="0"/>
                    <a:ea typeface="+mn-ea"/>
                    <a:cs typeface="Segoe UI" panose="020B0502040204020203" pitchFamily="34" charset="0"/>
                  </a:rPr>
                  <a:pPr algn="ctr" rtl="0">
                    <a:defRPr lang="en-US" sz="800" b="1">
                      <a:solidFill>
                        <a:schemeClr val="tx1"/>
                      </a:solidFill>
                      <a:latin typeface="Segoe UI" panose="020B0502040204020203" pitchFamily="34" charset="0"/>
                      <a:cs typeface="Segoe UI" panose="020B0502040204020203" pitchFamily="34" charset="0"/>
                    </a:defRPr>
                  </a:pPr>
                  <a:t>[VALUE]</a:t>
                </a:fld>
                <a:endParaRPr lang="en-GB"/>
              </a:p>
            </c:rich>
          </c:tx>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7BFF"/>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75000"/>
            </a:schemeClr>
          </a:solidFill>
          <a:ln>
            <a:noFill/>
          </a:ln>
          <a:effectLst/>
        </c:spPr>
      </c:pivotFmt>
      <c:pivotFmt>
        <c:idx val="9"/>
        <c:spPr>
          <a:solidFill>
            <a:schemeClr val="bg2">
              <a:lumMod val="90000"/>
            </a:schemeClr>
          </a:solidFill>
          <a:ln>
            <a:noFill/>
          </a:ln>
          <a:effectLst/>
        </c:spPr>
      </c:pivotFmt>
      <c:pivotFmt>
        <c:idx val="10"/>
        <c:spPr>
          <a:solidFill>
            <a:schemeClr val="bg2">
              <a:lumMod val="90000"/>
            </a:schemeClr>
          </a:solidFill>
          <a:ln>
            <a:noFill/>
          </a:ln>
          <a:effectLst/>
        </c:spPr>
      </c:pivotFmt>
      <c:pivotFmt>
        <c:idx val="11"/>
        <c:spPr>
          <a:solidFill>
            <a:srgbClr val="007BFF"/>
          </a:solidFill>
          <a:ln>
            <a:noFill/>
          </a:ln>
          <a:effectLst/>
        </c:spPr>
      </c:pivotFmt>
      <c:pivotFmt>
        <c:idx val="12"/>
        <c:spPr>
          <a:solidFill>
            <a:srgbClr val="007BFF"/>
          </a:solidFill>
          <a:ln>
            <a:noFill/>
          </a:ln>
          <a:effectLst/>
        </c:spPr>
      </c:pivotFmt>
    </c:pivotFmts>
    <c:plotArea>
      <c:layout>
        <c:manualLayout>
          <c:layoutTarget val="inner"/>
          <c:xMode val="edge"/>
          <c:yMode val="edge"/>
          <c:x val="0.18700268157537217"/>
          <c:y val="0.15679984446388645"/>
          <c:w val="0.73238948410137261"/>
          <c:h val="0.73653333333333337"/>
        </c:manualLayout>
      </c:layout>
      <c:barChart>
        <c:barDir val="bar"/>
        <c:grouping val="clustered"/>
        <c:varyColors val="0"/>
        <c:ser>
          <c:idx val="0"/>
          <c:order val="0"/>
          <c:tx>
            <c:strRef>
              <c:f>'Pivot Tables'!$L$3</c:f>
              <c:strCache>
                <c:ptCount val="1"/>
                <c:pt idx="0">
                  <c:v>Total</c:v>
                </c:pt>
              </c:strCache>
            </c:strRef>
          </c:tx>
          <c:spPr>
            <a:solidFill>
              <a:srgbClr val="007BFF"/>
            </a:solidFill>
            <a:ln>
              <a:noFill/>
            </a:ln>
            <a:effectLst/>
          </c:spPr>
          <c:invertIfNegative val="0"/>
          <c:dPt>
            <c:idx val="0"/>
            <c:invertIfNegative val="0"/>
            <c:bubble3D val="0"/>
            <c:spPr>
              <a:solidFill>
                <a:srgbClr val="007BFF"/>
              </a:solidFill>
              <a:ln>
                <a:noFill/>
              </a:ln>
              <a:effectLst/>
            </c:spPr>
            <c:extLst>
              <c:ext xmlns:c16="http://schemas.microsoft.com/office/drawing/2014/chart" uri="{C3380CC4-5D6E-409C-BE32-E72D297353CC}">
                <c16:uniqueId val="{00000008-A2A9-4A1A-8B3C-40C004AC1880}"/>
              </c:ext>
            </c:extLst>
          </c:dPt>
          <c:dPt>
            <c:idx val="1"/>
            <c:invertIfNegative val="0"/>
            <c:bubble3D val="0"/>
            <c:extLst>
              <c:ext xmlns:c16="http://schemas.microsoft.com/office/drawing/2014/chart" uri="{C3380CC4-5D6E-409C-BE32-E72D297353CC}">
                <c16:uniqueId val="{00000007-A2A9-4A1A-8B3C-40C004AC1880}"/>
              </c:ext>
            </c:extLst>
          </c:dPt>
          <c:dPt>
            <c:idx val="2"/>
            <c:invertIfNegative val="0"/>
            <c:bubble3D val="0"/>
            <c:spPr>
              <a:solidFill>
                <a:srgbClr val="007BFF"/>
              </a:solidFill>
              <a:ln>
                <a:noFill/>
              </a:ln>
              <a:effectLst/>
            </c:spPr>
            <c:extLst>
              <c:ext xmlns:c16="http://schemas.microsoft.com/office/drawing/2014/chart" uri="{C3380CC4-5D6E-409C-BE32-E72D297353CC}">
                <c16:uniqueId val="{00000006-A2A9-4A1A-8B3C-40C004AC1880}"/>
              </c:ext>
            </c:extLst>
          </c:dPt>
          <c:dPt>
            <c:idx val="3"/>
            <c:invertIfNegative val="0"/>
            <c:bubble3D val="0"/>
            <c:spPr>
              <a:solidFill>
                <a:srgbClr val="00448E"/>
              </a:solidFill>
              <a:ln>
                <a:noFill/>
              </a:ln>
              <a:effectLst/>
            </c:spPr>
            <c:extLst>
              <c:ext xmlns:c16="http://schemas.microsoft.com/office/drawing/2014/chart" uri="{C3380CC4-5D6E-409C-BE32-E72D297353CC}">
                <c16:uniqueId val="{00000005-A2A9-4A1A-8B3C-40C004AC1880}"/>
              </c:ext>
            </c:extLst>
          </c:dPt>
          <c:dPt>
            <c:idx val="4"/>
            <c:invertIfNegative val="0"/>
            <c:bubble3D val="0"/>
            <c:spPr>
              <a:solidFill>
                <a:srgbClr val="00448E"/>
              </a:solidFill>
              <a:ln>
                <a:noFill/>
              </a:ln>
              <a:effectLst/>
            </c:spPr>
            <c:extLst>
              <c:ext xmlns:c16="http://schemas.microsoft.com/office/drawing/2014/chart" uri="{C3380CC4-5D6E-409C-BE32-E72D297353CC}">
                <c16:uniqueId val="{00000004-A2A9-4A1A-8B3C-40C004AC1880}"/>
              </c:ext>
            </c:extLst>
          </c:dPt>
          <c:dPt>
            <c:idx val="5"/>
            <c:invertIfNegative val="0"/>
            <c:bubble3D val="0"/>
            <c:extLst>
              <c:ext xmlns:c16="http://schemas.microsoft.com/office/drawing/2014/chart" uri="{C3380CC4-5D6E-409C-BE32-E72D297353CC}">
                <c16:uniqueId val="{00000003-A2A9-4A1A-8B3C-40C004AC1880}"/>
              </c:ext>
            </c:extLst>
          </c:dPt>
          <c:dPt>
            <c:idx val="7"/>
            <c:invertIfNegative val="0"/>
            <c:bubble3D val="0"/>
            <c:extLst>
              <c:ext xmlns:c16="http://schemas.microsoft.com/office/drawing/2014/chart" uri="{C3380CC4-5D6E-409C-BE32-E72D297353CC}">
                <c16:uniqueId val="{00000010-7920-4136-AA89-EB4F06362D61}"/>
              </c:ext>
            </c:extLst>
          </c:dPt>
          <c:dPt>
            <c:idx val="8"/>
            <c:invertIfNegative val="0"/>
            <c:bubble3D val="0"/>
            <c:extLst>
              <c:ext xmlns:c16="http://schemas.microsoft.com/office/drawing/2014/chart" uri="{C3380CC4-5D6E-409C-BE32-E72D297353CC}">
                <c16:uniqueId val="{00000002-A2A9-4A1A-8B3C-40C004AC1880}"/>
              </c:ext>
            </c:extLst>
          </c:dPt>
          <c:dPt>
            <c:idx val="9"/>
            <c:invertIfNegative val="0"/>
            <c:bubble3D val="0"/>
            <c:extLst>
              <c:ext xmlns:c16="http://schemas.microsoft.com/office/drawing/2014/chart" uri="{C3380CC4-5D6E-409C-BE32-E72D297353CC}">
                <c16:uniqueId val="{00000001-A2A9-4A1A-8B3C-40C004AC1880}"/>
              </c:ext>
            </c:extLst>
          </c:dPt>
          <c:dLbls>
            <c:dLbl>
              <c:idx val="3"/>
              <c:tx>
                <c:rich>
                  <a:bodyPr rot="0" spcFirstLastPara="1" vertOverflow="ellipsis" vert="horz" wrap="square" lIns="38100" tIns="19050" rIns="38100" bIns="19050" anchor="ctr" anchorCtr="0">
                    <a:spAutoFit/>
                  </a:bodyPr>
                  <a:lstStyle/>
                  <a:p>
                    <a:pPr algn="ctr" rtl="0">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fld id="{D0A615E6-869E-444B-B57B-28997EED33BA}" type="VALUE">
                      <a:rPr lang="en-US" sz="800" b="1" i="0" u="none" strike="noStrike" kern="1200" baseline="0">
                        <a:solidFill>
                          <a:schemeClr val="tx1"/>
                        </a:solidFill>
                        <a:latin typeface="Segoe UI" panose="020B0502040204020203" pitchFamily="34" charset="0"/>
                        <a:ea typeface="+mn-ea"/>
                        <a:cs typeface="Segoe UI" panose="020B0502040204020203" pitchFamily="34" charset="0"/>
                      </a:rPr>
                      <a:pPr algn="ctr" rtl="0">
                        <a:defRPr lang="en-US" sz="800" b="1">
                          <a:solidFill>
                            <a:schemeClr val="tx1"/>
                          </a:solidFill>
                          <a:latin typeface="Segoe UI" panose="020B0502040204020203" pitchFamily="34" charset="0"/>
                          <a:cs typeface="Segoe UI" panose="020B0502040204020203" pitchFamily="34" charset="0"/>
                        </a:defRPr>
                      </a:pPr>
                      <a:t>[VALUE]</a:t>
                    </a:fld>
                    <a:endParaRPr lang="en-GB"/>
                  </a:p>
                </c:rich>
              </c:tx>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2A9-4A1A-8B3C-40C004AC1880}"/>
                </c:ext>
              </c:extLst>
            </c:dLbl>
            <c:dLbl>
              <c:idx val="4"/>
              <c:tx>
                <c:rich>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fld id="{AA418902-6FFC-4419-B16D-608F9B24EBAB}" type="VALUE">
                      <a:rPr lang="en-US" sz="800" b="1" i="0" u="none" strike="noStrike" kern="1200" baseline="0">
                        <a:solidFill>
                          <a:schemeClr val="tx1"/>
                        </a:solidFill>
                        <a:latin typeface="Segoe UI" panose="020B0502040204020203" pitchFamily="34" charset="0"/>
                        <a:ea typeface="+mn-ea"/>
                        <a:cs typeface="Segoe UI" panose="020B0502040204020203" pitchFamily="34" charset="0"/>
                      </a:rPr>
                      <a:pPr>
                        <a:defRPr lang="en-US" sz="800" b="1">
                          <a:solidFill>
                            <a:schemeClr val="tx1"/>
                          </a:solidFill>
                          <a:latin typeface="Segoe UI" panose="020B0502040204020203" pitchFamily="34" charset="0"/>
                          <a:cs typeface="Segoe UI" panose="020B0502040204020203" pitchFamily="34" charset="0"/>
                        </a:defRPr>
                      </a:pPr>
                      <a:t>[VALUE]</a:t>
                    </a:fld>
                    <a:endParaRPr lang="en-GB"/>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2A9-4A1A-8B3C-40C004AC1880}"/>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Tables'!$K$4:$K$8</c:f>
              <c:strCache>
                <c:ptCount val="5"/>
                <c:pt idx="0">
                  <c:v>BRW_435</c:v>
                </c:pt>
                <c:pt idx="1">
                  <c:v>BRW_13</c:v>
                </c:pt>
                <c:pt idx="2">
                  <c:v>BRW_225</c:v>
                </c:pt>
                <c:pt idx="3">
                  <c:v>BRW_250</c:v>
                </c:pt>
                <c:pt idx="4">
                  <c:v>BRW_420</c:v>
                </c:pt>
              </c:strCache>
            </c:strRef>
          </c:cat>
          <c:val>
            <c:numRef>
              <c:f>'Pivot Tables'!$L$4:$L$8</c:f>
              <c:numCache>
                <c:formatCode>\₦0.00,,"M"</c:formatCode>
                <c:ptCount val="5"/>
                <c:pt idx="0">
                  <c:v>1977716</c:v>
                </c:pt>
                <c:pt idx="1">
                  <c:v>1980750</c:v>
                </c:pt>
                <c:pt idx="2">
                  <c:v>1989253</c:v>
                </c:pt>
                <c:pt idx="3">
                  <c:v>1995049</c:v>
                </c:pt>
                <c:pt idx="4">
                  <c:v>1995325</c:v>
                </c:pt>
              </c:numCache>
            </c:numRef>
          </c:val>
          <c:extLst>
            <c:ext xmlns:c16="http://schemas.microsoft.com/office/drawing/2014/chart" uri="{C3380CC4-5D6E-409C-BE32-E72D297353CC}">
              <c16:uniqueId val="{00000000-A2A9-4A1A-8B3C-40C004AC1880}"/>
            </c:ext>
          </c:extLst>
        </c:ser>
        <c:dLbls>
          <c:showLegendKey val="0"/>
          <c:showVal val="0"/>
          <c:showCatName val="0"/>
          <c:showSerName val="0"/>
          <c:showPercent val="0"/>
          <c:showBubbleSize val="0"/>
        </c:dLbls>
        <c:gapWidth val="200"/>
        <c:axId val="13047567"/>
        <c:axId val="13024047"/>
      </c:barChart>
      <c:catAx>
        <c:axId val="130475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024047"/>
        <c:crosses val="autoZero"/>
        <c:auto val="1"/>
        <c:lblAlgn val="ctr"/>
        <c:lblOffset val="100"/>
        <c:noMultiLvlLbl val="0"/>
      </c:catAx>
      <c:valAx>
        <c:axId val="13024047"/>
        <c:scaling>
          <c:orientation val="minMax"/>
        </c:scaling>
        <c:delete val="1"/>
        <c:axPos val="b"/>
        <c:numFmt formatCode="\₦0.00,,&quot;M&quot;" sourceLinked="1"/>
        <c:majorTickMark val="none"/>
        <c:minorTickMark val="none"/>
        <c:tickLblPos val="nextTo"/>
        <c:crossAx val="1304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[loan-recovery.update.xlsx]Pivot Tables!PivotTable15</c:name>
    <c:fmtId val="12"/>
  </c:pivotSource>
  <c:chart>
    <c:title>
      <c:tx>
        <c:rich>
          <a:bodyPr rot="0" spcFirstLastPara="1" vertOverflow="ellipsis" vert="horz" wrap="square" anchor="ctr" anchorCtr="1"/>
          <a:lstStyle/>
          <a:p>
            <a:pPr>
              <a:defRPr lang="en-US" sz="1080" b="1" i="0" u="none" strike="noStrike" kern="1200" spc="0" baseline="0">
                <a:solidFill>
                  <a:schemeClr val="tx1"/>
                </a:solidFill>
                <a:latin typeface="Segoe UI" panose="020B0502040204020203" pitchFamily="34" charset="0"/>
                <a:ea typeface="+mn-ea"/>
                <a:cs typeface="Segoe UI" panose="020B0502040204020203" pitchFamily="34" charset="0"/>
              </a:defRPr>
            </a:pPr>
            <a:r>
              <a:rPr lang="en-GB" sz="1200">
                <a:latin typeface="Arial" panose="020B0604020202020204" pitchFamily="34" charset="0"/>
                <a:cs typeface="Arial" panose="020B0604020202020204" pitchFamily="34" charset="0"/>
              </a:rPr>
              <a:t>Loan</a:t>
            </a:r>
            <a:r>
              <a:rPr lang="en-GB" sz="1200" baseline="0">
                <a:latin typeface="Arial" panose="020B0604020202020204" pitchFamily="34" charset="0"/>
                <a:cs typeface="Arial" panose="020B0604020202020204" pitchFamily="34" charset="0"/>
              </a:rPr>
              <a:t> Amount By Tenure (Months)</a:t>
            </a:r>
            <a:endParaRPr lang="en-GB"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pivotFmt>
      <c:pivotFmt>
        <c:idx val="22"/>
        <c:spPr>
          <a:solidFill>
            <a:srgbClr val="2E86DE"/>
          </a:solidFill>
          <a:ln>
            <a:noFill/>
          </a:ln>
          <a:effectLst/>
        </c:spPr>
      </c:pivotFmt>
      <c:pivotFmt>
        <c:idx val="23"/>
        <c:spPr>
          <a:solidFill>
            <a:srgbClr val="2E86DE"/>
          </a:solidFill>
          <a:ln>
            <a:noFill/>
          </a:ln>
          <a:effectLst/>
        </c:spPr>
      </c:pivotFmt>
      <c:pivotFmt>
        <c:idx val="24"/>
        <c:spPr>
          <a:solidFill>
            <a:srgbClr val="2E86DE"/>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E74C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Tables'!$T$13</c:f>
              <c:strCache>
                <c:ptCount val="1"/>
                <c:pt idx="0">
                  <c:v>Sum of Loan_Amount</c:v>
                </c:pt>
              </c:strCache>
            </c:strRef>
          </c:tx>
          <c:spPr>
            <a:solidFill>
              <a:schemeClr val="accent1"/>
            </a:solidFill>
            <a:ln>
              <a:noFill/>
            </a:ln>
            <a:effectLst/>
          </c:spPr>
          <c:invertIfNegative val="0"/>
          <c:dPt>
            <c:idx val="2"/>
            <c:invertIfNegative val="0"/>
            <c:bubble3D val="0"/>
            <c:spPr>
              <a:solidFill>
                <a:srgbClr val="002060"/>
              </a:solidFill>
              <a:ln>
                <a:noFill/>
              </a:ln>
              <a:effectLst/>
            </c:spPr>
            <c:extLst>
              <c:ext xmlns:c16="http://schemas.microsoft.com/office/drawing/2014/chart" uri="{C3380CC4-5D6E-409C-BE32-E72D297353CC}">
                <c16:uniqueId val="{00000001-1CAB-482D-BED9-0CBC03ED259D}"/>
              </c:ext>
            </c:extLst>
          </c:dPt>
          <c:dPt>
            <c:idx val="3"/>
            <c:invertIfNegative val="0"/>
            <c:bubble3D val="0"/>
            <c:spPr>
              <a:solidFill>
                <a:srgbClr val="2E86DE"/>
              </a:solidFill>
              <a:ln>
                <a:noFill/>
              </a:ln>
              <a:effectLst/>
            </c:spPr>
            <c:extLst>
              <c:ext xmlns:c16="http://schemas.microsoft.com/office/drawing/2014/chart" uri="{C3380CC4-5D6E-409C-BE32-E72D297353CC}">
                <c16:uniqueId val="{00000002-1CAB-482D-BED9-0CBC03ED259D}"/>
              </c:ext>
            </c:extLst>
          </c:dPt>
          <c:dPt>
            <c:idx val="4"/>
            <c:invertIfNegative val="0"/>
            <c:bubble3D val="0"/>
            <c:spPr>
              <a:solidFill>
                <a:srgbClr val="2E86DE"/>
              </a:solidFill>
              <a:ln>
                <a:noFill/>
              </a:ln>
              <a:effectLst/>
            </c:spPr>
            <c:extLst>
              <c:ext xmlns:c16="http://schemas.microsoft.com/office/drawing/2014/chart" uri="{C3380CC4-5D6E-409C-BE32-E72D297353CC}">
                <c16:uniqueId val="{00000003-1CAB-482D-BED9-0CBC03ED259D}"/>
              </c:ext>
            </c:extLst>
          </c:dPt>
          <c:dPt>
            <c:idx val="5"/>
            <c:invertIfNegative val="0"/>
            <c:bubble3D val="0"/>
            <c:spPr>
              <a:solidFill>
                <a:srgbClr val="2E86DE"/>
              </a:solidFill>
              <a:ln>
                <a:noFill/>
              </a:ln>
              <a:effectLst/>
            </c:spPr>
            <c:extLst>
              <c:ext xmlns:c16="http://schemas.microsoft.com/office/drawing/2014/chart" uri="{C3380CC4-5D6E-409C-BE32-E72D297353CC}">
                <c16:uniqueId val="{00000004-1CAB-482D-BED9-0CBC03ED259D}"/>
              </c:ext>
            </c:extLst>
          </c:dPt>
          <c:cat>
            <c:strRef>
              <c:f>'Pivot Tables'!$S$14:$S$19</c:f>
              <c:strCache>
                <c:ptCount val="6"/>
                <c:pt idx="0">
                  <c:v>12</c:v>
                </c:pt>
                <c:pt idx="1">
                  <c:v>24</c:v>
                </c:pt>
                <c:pt idx="2">
                  <c:v>36</c:v>
                </c:pt>
                <c:pt idx="3">
                  <c:v>48</c:v>
                </c:pt>
                <c:pt idx="4">
                  <c:v>60</c:v>
                </c:pt>
                <c:pt idx="5">
                  <c:v>72</c:v>
                </c:pt>
              </c:strCache>
            </c:strRef>
          </c:cat>
          <c:val>
            <c:numRef>
              <c:f>'Pivot Tables'!$T$14:$T$19</c:f>
              <c:numCache>
                <c:formatCode>\₦0.00,,"M"</c:formatCode>
                <c:ptCount val="6"/>
                <c:pt idx="0">
                  <c:v>45397385</c:v>
                </c:pt>
                <c:pt idx="1">
                  <c:v>56466359</c:v>
                </c:pt>
                <c:pt idx="2">
                  <c:v>112137378</c:v>
                </c:pt>
                <c:pt idx="3">
                  <c:v>104924774</c:v>
                </c:pt>
                <c:pt idx="4">
                  <c:v>106701823</c:v>
                </c:pt>
                <c:pt idx="5">
                  <c:v>86825797</c:v>
                </c:pt>
              </c:numCache>
            </c:numRef>
          </c:val>
          <c:extLst>
            <c:ext xmlns:c16="http://schemas.microsoft.com/office/drawing/2014/chart" uri="{C3380CC4-5D6E-409C-BE32-E72D297353CC}">
              <c16:uniqueId val="{00000000-1CAB-482D-BED9-0CBC03ED259D}"/>
            </c:ext>
          </c:extLst>
        </c:ser>
        <c:dLbls>
          <c:showLegendKey val="0"/>
          <c:showVal val="0"/>
          <c:showCatName val="0"/>
          <c:showSerName val="0"/>
          <c:showPercent val="0"/>
          <c:showBubbleSize val="0"/>
        </c:dLbls>
        <c:gapWidth val="350"/>
        <c:axId val="1378296912"/>
        <c:axId val="1378297392"/>
      </c:barChart>
      <c:lineChart>
        <c:grouping val="standard"/>
        <c:varyColors val="0"/>
        <c:ser>
          <c:idx val="1"/>
          <c:order val="1"/>
          <c:tx>
            <c:strRef>
              <c:f>'Pivot Tables'!$U$13</c:f>
              <c:strCache>
                <c:ptCount val="1"/>
                <c:pt idx="0">
                  <c:v>Sum of Outstanding_Loan_Amount</c:v>
                </c:pt>
              </c:strCache>
            </c:strRef>
          </c:tx>
          <c:spPr>
            <a:ln w="28575" cap="rnd">
              <a:solidFill>
                <a:srgbClr val="E74C3C"/>
              </a:solidFill>
              <a:round/>
            </a:ln>
            <a:effectLst/>
          </c:spPr>
          <c:marker>
            <c:symbol val="none"/>
          </c:marker>
          <c:cat>
            <c:strRef>
              <c:f>'Pivot Tables'!$S$14:$S$19</c:f>
              <c:strCache>
                <c:ptCount val="6"/>
                <c:pt idx="0">
                  <c:v>12</c:v>
                </c:pt>
                <c:pt idx="1">
                  <c:v>24</c:v>
                </c:pt>
                <c:pt idx="2">
                  <c:v>36</c:v>
                </c:pt>
                <c:pt idx="3">
                  <c:v>48</c:v>
                </c:pt>
                <c:pt idx="4">
                  <c:v>60</c:v>
                </c:pt>
                <c:pt idx="5">
                  <c:v>72</c:v>
                </c:pt>
              </c:strCache>
            </c:strRef>
          </c:cat>
          <c:val>
            <c:numRef>
              <c:f>'Pivot Tables'!$U$14:$U$19</c:f>
              <c:numCache>
                <c:formatCode>\₦0.00,,"M"</c:formatCode>
                <c:ptCount val="6"/>
                <c:pt idx="0">
                  <c:v>24658775.061014071</c:v>
                </c:pt>
                <c:pt idx="1">
                  <c:v>33748662.369114205</c:v>
                </c:pt>
                <c:pt idx="2">
                  <c:v>59711460.42457965</c:v>
                </c:pt>
                <c:pt idx="3">
                  <c:v>55143429.25159882</c:v>
                </c:pt>
                <c:pt idx="4">
                  <c:v>57889661.139327459</c:v>
                </c:pt>
                <c:pt idx="5">
                  <c:v>50211000.096507378</c:v>
                </c:pt>
              </c:numCache>
            </c:numRef>
          </c:val>
          <c:smooth val="1"/>
          <c:extLst>
            <c:ext xmlns:c16="http://schemas.microsoft.com/office/drawing/2014/chart" uri="{C3380CC4-5D6E-409C-BE32-E72D297353CC}">
              <c16:uniqueId val="{00000006-1CAB-482D-BED9-0CBC03ED259D}"/>
            </c:ext>
          </c:extLst>
        </c:ser>
        <c:dLbls>
          <c:showLegendKey val="0"/>
          <c:showVal val="0"/>
          <c:showCatName val="0"/>
          <c:showSerName val="0"/>
          <c:showPercent val="0"/>
          <c:showBubbleSize val="0"/>
        </c:dLbls>
        <c:marker val="1"/>
        <c:smooth val="0"/>
        <c:axId val="1378296912"/>
        <c:axId val="1378297392"/>
      </c:lineChart>
      <c:catAx>
        <c:axId val="1378296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78297392"/>
        <c:crosses val="autoZero"/>
        <c:auto val="1"/>
        <c:lblAlgn val="ctr"/>
        <c:lblOffset val="100"/>
        <c:noMultiLvlLbl val="0"/>
      </c:catAx>
      <c:valAx>
        <c:axId val="1378297392"/>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78296912"/>
        <c:crosses val="autoZero"/>
        <c:crossBetween val="between"/>
        <c:majorUnit val="3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2.xml"/><Relationship Id="rId16" Type="http://schemas.openxmlformats.org/officeDocument/2006/relationships/chart" Target="../charts/chart16.xml"/><Relationship Id="rId1" Type="http://schemas.openxmlformats.org/officeDocument/2006/relationships/chart" Target="../charts/chart1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15.xml"/><Relationship Id="rId10" Type="http://schemas.openxmlformats.org/officeDocument/2006/relationships/image" Target="../media/image6.svg"/><Relationship Id="rId4" Type="http://schemas.openxmlformats.org/officeDocument/2006/relationships/chart" Target="../charts/chart1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33337</xdr:colOff>
      <xdr:row>28</xdr:row>
      <xdr:rowOff>23812</xdr:rowOff>
    </xdr:from>
    <xdr:to>
      <xdr:col>6</xdr:col>
      <xdr:colOff>528637</xdr:colOff>
      <xdr:row>42</xdr:row>
      <xdr:rowOff>100012</xdr:rowOff>
    </xdr:to>
    <xdr:graphicFrame macro="">
      <xdr:nvGraphicFramePr>
        <xdr:cNvPr id="3" name="Chart 2">
          <a:extLst>
            <a:ext uri="{FF2B5EF4-FFF2-40B4-BE49-F238E27FC236}">
              <a16:creationId xmlns:a16="http://schemas.microsoft.com/office/drawing/2014/main" id="{F4147732-C902-DD8A-BCC1-1CDA76643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442912</xdr:colOff>
      <xdr:row>34</xdr:row>
      <xdr:rowOff>61912</xdr:rowOff>
    </xdr:from>
    <xdr:to>
      <xdr:col>20</xdr:col>
      <xdr:colOff>338137</xdr:colOff>
      <xdr:row>48</xdr:row>
      <xdr:rowOff>138112</xdr:rowOff>
    </xdr:to>
    <xdr:graphicFrame macro="">
      <xdr:nvGraphicFramePr>
        <xdr:cNvPr id="4" name="Chart 3">
          <a:extLst>
            <a:ext uri="{FF2B5EF4-FFF2-40B4-BE49-F238E27FC236}">
              <a16:creationId xmlns:a16="http://schemas.microsoft.com/office/drawing/2014/main" id="{96B24DFC-EA5D-AAD6-9FAE-F8060E7F1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147637</xdr:rowOff>
    </xdr:from>
    <xdr:to>
      <xdr:col>2</xdr:col>
      <xdr:colOff>523875</xdr:colOff>
      <xdr:row>35</xdr:row>
      <xdr:rowOff>33337</xdr:rowOff>
    </xdr:to>
    <xdr:graphicFrame macro="">
      <xdr:nvGraphicFramePr>
        <xdr:cNvPr id="5" name="Chart 4">
          <a:extLst>
            <a:ext uri="{FF2B5EF4-FFF2-40B4-BE49-F238E27FC236}">
              <a16:creationId xmlns:a16="http://schemas.microsoft.com/office/drawing/2014/main" id="{82565C56-4DC8-38C7-2753-10F66D64A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862012</xdr:colOff>
      <xdr:row>38</xdr:row>
      <xdr:rowOff>185737</xdr:rowOff>
    </xdr:from>
    <xdr:to>
      <xdr:col>18</xdr:col>
      <xdr:colOff>557212</xdr:colOff>
      <xdr:row>53</xdr:row>
      <xdr:rowOff>71437</xdr:rowOff>
    </xdr:to>
    <xdr:graphicFrame macro="">
      <xdr:nvGraphicFramePr>
        <xdr:cNvPr id="6" name="Chart 5">
          <a:extLst>
            <a:ext uri="{FF2B5EF4-FFF2-40B4-BE49-F238E27FC236}">
              <a16:creationId xmlns:a16="http://schemas.microsoft.com/office/drawing/2014/main" id="{9D47BA76-A89D-CA93-F870-57DA13640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138112</xdr:colOff>
      <xdr:row>34</xdr:row>
      <xdr:rowOff>14287</xdr:rowOff>
    </xdr:from>
    <xdr:to>
      <xdr:col>18</xdr:col>
      <xdr:colOff>23812</xdr:colOff>
      <xdr:row>48</xdr:row>
      <xdr:rowOff>90487</xdr:rowOff>
    </xdr:to>
    <xdr:graphicFrame macro="">
      <xdr:nvGraphicFramePr>
        <xdr:cNvPr id="7" name="Chart 6">
          <a:extLst>
            <a:ext uri="{FF2B5EF4-FFF2-40B4-BE49-F238E27FC236}">
              <a16:creationId xmlns:a16="http://schemas.microsoft.com/office/drawing/2014/main" id="{B31F3D03-515C-551C-6E8B-13F388517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16</xdr:row>
      <xdr:rowOff>90487</xdr:rowOff>
    </xdr:from>
    <xdr:to>
      <xdr:col>7</xdr:col>
      <xdr:colOff>247650</xdr:colOff>
      <xdr:row>30</xdr:row>
      <xdr:rowOff>166687</xdr:rowOff>
    </xdr:to>
    <xdr:graphicFrame macro="">
      <xdr:nvGraphicFramePr>
        <xdr:cNvPr id="9" name="Chart 8">
          <a:extLst>
            <a:ext uri="{FF2B5EF4-FFF2-40B4-BE49-F238E27FC236}">
              <a16:creationId xmlns:a16="http://schemas.microsoft.com/office/drawing/2014/main" id="{7D39ACE7-DFCC-8AC6-BD57-DB473981C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800100</xdr:colOff>
      <xdr:row>15</xdr:row>
      <xdr:rowOff>19050</xdr:rowOff>
    </xdr:from>
    <xdr:to>
      <xdr:col>12</xdr:col>
      <xdr:colOff>371475</xdr:colOff>
      <xdr:row>20</xdr:row>
      <xdr:rowOff>28575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0EF2CBE-1B47-54D4-CEEC-B5A4037619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82550" y="2876550"/>
              <a:ext cx="180975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13</xdr:row>
      <xdr:rowOff>85725</xdr:rowOff>
    </xdr:from>
    <xdr:to>
      <xdr:col>16</xdr:col>
      <xdr:colOff>38100</xdr:colOff>
      <xdr:row>21</xdr:row>
      <xdr:rowOff>0</xdr:rowOff>
    </xdr:to>
    <mc:AlternateContent xmlns:mc="http://schemas.openxmlformats.org/markup-compatibility/2006" xmlns:a14="http://schemas.microsoft.com/office/drawing/2010/main">
      <mc:Choice Requires="a14">
        <xdr:graphicFrame macro="">
          <xdr:nvGraphicFramePr>
            <xdr:cNvPr id="10" name="Loan_Type">
              <a:extLst>
                <a:ext uri="{FF2B5EF4-FFF2-40B4-BE49-F238E27FC236}">
                  <a16:creationId xmlns:a16="http://schemas.microsoft.com/office/drawing/2014/main" id="{0749547C-7703-6868-FA48-6CC586C606FC}"/>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16954500" y="2562225"/>
              <a:ext cx="1828800" cy="1438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31</xdr:row>
      <xdr:rowOff>28575</xdr:rowOff>
    </xdr:from>
    <xdr:to>
      <xdr:col>13</xdr:col>
      <xdr:colOff>0</xdr:colOff>
      <xdr:row>37</xdr:row>
      <xdr:rowOff>0</xdr:rowOff>
    </xdr:to>
    <mc:AlternateContent xmlns:mc="http://schemas.openxmlformats.org/markup-compatibility/2006" xmlns:a14="http://schemas.microsoft.com/office/drawing/2010/main">
      <mc:Choice Requires="a14">
        <xdr:graphicFrame macro="">
          <xdr:nvGraphicFramePr>
            <xdr:cNvPr id="11" name="Legal_Action_Taken">
              <a:extLst>
                <a:ext uri="{FF2B5EF4-FFF2-40B4-BE49-F238E27FC236}">
                  <a16:creationId xmlns:a16="http://schemas.microsoft.com/office/drawing/2014/main" id="{44BCD286-87D0-FF24-8603-F84FE868A9D0}"/>
                </a:ext>
              </a:extLst>
            </xdr:cNvPr>
            <xdr:cNvGraphicFramePr/>
          </xdr:nvGraphicFramePr>
          <xdr:xfrm>
            <a:off x="0" y="0"/>
            <a:ext cx="0" cy="0"/>
          </xdr:xfrm>
          <a:graphic>
            <a:graphicData uri="http://schemas.microsoft.com/office/drawing/2010/slicer">
              <sle:slicer xmlns:sle="http://schemas.microsoft.com/office/drawing/2010/slicer" name="Legal_Action_Taken"/>
            </a:graphicData>
          </a:graphic>
        </xdr:graphicFrame>
      </mc:Choice>
      <mc:Fallback xmlns="">
        <xdr:sp macro="" textlink="">
          <xdr:nvSpPr>
            <xdr:cNvPr id="0" name=""/>
            <xdr:cNvSpPr>
              <a:spLocks noTextEdit="1"/>
            </xdr:cNvSpPr>
          </xdr:nvSpPr>
          <xdr:spPr>
            <a:xfrm>
              <a:off x="13849350" y="5934075"/>
              <a:ext cx="1790700" cy="1114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695325</xdr:colOff>
      <xdr:row>1</xdr:row>
      <xdr:rowOff>104774</xdr:rowOff>
    </xdr:from>
    <xdr:to>
      <xdr:col>6</xdr:col>
      <xdr:colOff>533401</xdr:colOff>
      <xdr:row>8</xdr:row>
      <xdr:rowOff>9525</xdr:rowOff>
    </xdr:to>
    <mc:AlternateContent xmlns:mc="http://schemas.openxmlformats.org/markup-compatibility/2006" xmlns:a14="http://schemas.microsoft.com/office/drawing/2010/main">
      <mc:Choice Requires="a14">
        <xdr:graphicFrame macro="">
          <xdr:nvGraphicFramePr>
            <xdr:cNvPr id="12" name="Recovery_Status">
              <a:extLst>
                <a:ext uri="{FF2B5EF4-FFF2-40B4-BE49-F238E27FC236}">
                  <a16:creationId xmlns:a16="http://schemas.microsoft.com/office/drawing/2014/main" id="{2C13FD06-1525-DCF0-8C72-86AA2B96522B}"/>
                </a:ext>
              </a:extLst>
            </xdr:cNvPr>
            <xdr:cNvGraphicFramePr/>
          </xdr:nvGraphicFramePr>
          <xdr:xfrm>
            <a:off x="0" y="0"/>
            <a:ext cx="0" cy="0"/>
          </xdr:xfrm>
          <a:graphic>
            <a:graphicData uri="http://schemas.microsoft.com/office/drawing/2010/slicer">
              <sle:slicer xmlns:sle="http://schemas.microsoft.com/office/drawing/2010/slicer" name="Recovery_Status"/>
            </a:graphicData>
          </a:graphic>
        </xdr:graphicFrame>
      </mc:Choice>
      <mc:Fallback xmlns="">
        <xdr:sp macro="" textlink="">
          <xdr:nvSpPr>
            <xdr:cNvPr id="0" name=""/>
            <xdr:cNvSpPr>
              <a:spLocks noTextEdit="1"/>
            </xdr:cNvSpPr>
          </xdr:nvSpPr>
          <xdr:spPr>
            <a:xfrm>
              <a:off x="5972175" y="295274"/>
              <a:ext cx="1838326" cy="12382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100012</xdr:rowOff>
    </xdr:from>
    <xdr:to>
      <xdr:col>2</xdr:col>
      <xdr:colOff>638175</xdr:colOff>
      <xdr:row>24</xdr:row>
      <xdr:rowOff>176212</xdr:rowOff>
    </xdr:to>
    <xdr:graphicFrame macro="">
      <xdr:nvGraphicFramePr>
        <xdr:cNvPr id="8" name="Chart 7">
          <a:extLst>
            <a:ext uri="{FF2B5EF4-FFF2-40B4-BE49-F238E27FC236}">
              <a16:creationId xmlns:a16="http://schemas.microsoft.com/office/drawing/2014/main" id="{882EBB7E-3608-D41F-39CA-3C73FB43A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247650</xdr:colOff>
      <xdr:row>32</xdr:row>
      <xdr:rowOff>152400</xdr:rowOff>
    </xdr:from>
    <xdr:to>
      <xdr:col>21</xdr:col>
      <xdr:colOff>0</xdr:colOff>
      <xdr:row>47</xdr:row>
      <xdr:rowOff>38100</xdr:rowOff>
    </xdr:to>
    <xdr:graphicFrame macro="">
      <xdr:nvGraphicFramePr>
        <xdr:cNvPr id="13" name="Chart 12">
          <a:extLst>
            <a:ext uri="{FF2B5EF4-FFF2-40B4-BE49-F238E27FC236}">
              <a16:creationId xmlns:a16="http://schemas.microsoft.com/office/drawing/2014/main" id="{71BBFA79-D95B-8830-2CE1-6FF73495E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123827</xdr:colOff>
      <xdr:row>21</xdr:row>
      <xdr:rowOff>38100</xdr:rowOff>
    </xdr:from>
    <xdr:to>
      <xdr:col>19</xdr:col>
      <xdr:colOff>1104901</xdr:colOff>
      <xdr:row>31</xdr:row>
      <xdr:rowOff>104774</xdr:rowOff>
    </xdr:to>
    <xdr:graphicFrame macro="">
      <xdr:nvGraphicFramePr>
        <xdr:cNvPr id="14" name="Chart 13">
          <a:extLst>
            <a:ext uri="{FF2B5EF4-FFF2-40B4-BE49-F238E27FC236}">
              <a16:creationId xmlns:a16="http://schemas.microsoft.com/office/drawing/2014/main" id="{E95681CB-7743-D708-BE9A-426123DBA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66675</xdr:colOff>
      <xdr:row>20</xdr:row>
      <xdr:rowOff>171450</xdr:rowOff>
    </xdr:from>
    <xdr:to>
      <xdr:col>13</xdr:col>
      <xdr:colOff>495300</xdr:colOff>
      <xdr:row>32</xdr:row>
      <xdr:rowOff>171450</xdr:rowOff>
    </xdr:to>
    <xdr:graphicFrame macro="">
      <xdr:nvGraphicFramePr>
        <xdr:cNvPr id="15" name="Chart 14">
          <a:extLst>
            <a:ext uri="{FF2B5EF4-FFF2-40B4-BE49-F238E27FC236}">
              <a16:creationId xmlns:a16="http://schemas.microsoft.com/office/drawing/2014/main" id="{9168F9AE-B0E6-4FB0-ACB4-1655E2743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457202</xdr:colOff>
      <xdr:row>1</xdr:row>
      <xdr:rowOff>171450</xdr:rowOff>
    </xdr:from>
    <xdr:to>
      <xdr:col>23</xdr:col>
      <xdr:colOff>142875</xdr:colOff>
      <xdr:row>36</xdr:row>
      <xdr:rowOff>57150</xdr:rowOff>
    </xdr:to>
    <xdr:sp macro="" textlink="">
      <xdr:nvSpPr>
        <xdr:cNvPr id="2" name="Rectangle 1">
          <a:extLst>
            <a:ext uri="{FF2B5EF4-FFF2-40B4-BE49-F238E27FC236}">
              <a16:creationId xmlns:a16="http://schemas.microsoft.com/office/drawing/2014/main" id="{2E7308CC-E5E8-B942-867D-F758A098A93B}"/>
            </a:ext>
          </a:extLst>
        </xdr:cNvPr>
        <xdr:cNvSpPr/>
      </xdr:nvSpPr>
      <xdr:spPr>
        <a:xfrm>
          <a:off x="1066802" y="361950"/>
          <a:ext cx="13096873" cy="6553200"/>
        </a:xfrm>
        <a:prstGeom prst="rect">
          <a:avLst/>
        </a:prstGeom>
        <a:solidFill>
          <a:schemeClr val="bg1">
            <a:lumMod val="65000"/>
          </a:schemeClr>
        </a:solidFill>
        <a:ln w="762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2</xdr:col>
      <xdr:colOff>2</xdr:colOff>
      <xdr:row>9</xdr:row>
      <xdr:rowOff>180975</xdr:rowOff>
    </xdr:from>
    <xdr:to>
      <xdr:col>20</xdr:col>
      <xdr:colOff>47626</xdr:colOff>
      <xdr:row>35</xdr:row>
      <xdr:rowOff>104775</xdr:rowOff>
    </xdr:to>
    <xdr:sp macro="" textlink="">
      <xdr:nvSpPr>
        <xdr:cNvPr id="3" name="Rectangle 2">
          <a:extLst>
            <a:ext uri="{FF2B5EF4-FFF2-40B4-BE49-F238E27FC236}">
              <a16:creationId xmlns:a16="http://schemas.microsoft.com/office/drawing/2014/main" id="{0ACA9DAB-B3C6-3D40-7E5E-A4C1E3E102EC}"/>
            </a:ext>
          </a:extLst>
        </xdr:cNvPr>
        <xdr:cNvSpPr/>
      </xdr:nvSpPr>
      <xdr:spPr>
        <a:xfrm>
          <a:off x="1219202" y="1895475"/>
          <a:ext cx="11020424" cy="4876800"/>
        </a:xfrm>
        <a:prstGeom prst="rect">
          <a:avLst/>
        </a:prstGeom>
        <a:solidFill>
          <a:schemeClr val="bg1">
            <a:lumMod val="50000"/>
          </a:schemeClr>
        </a:solidFill>
        <a:ln w="190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2</xdr:col>
      <xdr:colOff>47624</xdr:colOff>
      <xdr:row>2</xdr:row>
      <xdr:rowOff>104775</xdr:rowOff>
    </xdr:from>
    <xdr:to>
      <xdr:col>19</xdr:col>
      <xdr:colOff>285750</xdr:colOff>
      <xdr:row>5</xdr:row>
      <xdr:rowOff>0</xdr:rowOff>
    </xdr:to>
    <xdr:sp macro="" textlink="">
      <xdr:nvSpPr>
        <xdr:cNvPr id="4" name="Rectangle: Rounded Corners 3">
          <a:extLst>
            <a:ext uri="{FF2B5EF4-FFF2-40B4-BE49-F238E27FC236}">
              <a16:creationId xmlns:a16="http://schemas.microsoft.com/office/drawing/2014/main" id="{27A935B5-0975-659A-519B-0FC8FA9EFCE4}"/>
            </a:ext>
          </a:extLst>
        </xdr:cNvPr>
        <xdr:cNvSpPr/>
      </xdr:nvSpPr>
      <xdr:spPr>
        <a:xfrm>
          <a:off x="1266824" y="485775"/>
          <a:ext cx="10601326" cy="466725"/>
        </a:xfrm>
        <a:prstGeom prst="roundRect">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57150</xdr:colOff>
      <xdr:row>5</xdr:row>
      <xdr:rowOff>95250</xdr:rowOff>
    </xdr:from>
    <xdr:to>
      <xdr:col>6</xdr:col>
      <xdr:colOff>95550</xdr:colOff>
      <xdr:row>9</xdr:row>
      <xdr:rowOff>132450</xdr:rowOff>
    </xdr:to>
    <xdr:sp macro="" textlink="">
      <xdr:nvSpPr>
        <xdr:cNvPr id="5" name="Rectangle: Rounded Corners 4">
          <a:extLst>
            <a:ext uri="{FF2B5EF4-FFF2-40B4-BE49-F238E27FC236}">
              <a16:creationId xmlns:a16="http://schemas.microsoft.com/office/drawing/2014/main" id="{BD2369DE-9D6C-F535-CCCE-2700D8BB5E1E}"/>
            </a:ext>
          </a:extLst>
        </xdr:cNvPr>
        <xdr:cNvSpPr/>
      </xdr:nvSpPr>
      <xdr:spPr>
        <a:xfrm>
          <a:off x="1276350" y="1047750"/>
          <a:ext cx="2476800" cy="799200"/>
        </a:xfrm>
        <a:prstGeom prst="roundRect">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323925</xdr:colOff>
      <xdr:row>5</xdr:row>
      <xdr:rowOff>95250</xdr:rowOff>
    </xdr:from>
    <xdr:to>
      <xdr:col>10</xdr:col>
      <xdr:colOff>362325</xdr:colOff>
      <xdr:row>9</xdr:row>
      <xdr:rowOff>132450</xdr:rowOff>
    </xdr:to>
    <xdr:sp macro="" textlink="">
      <xdr:nvSpPr>
        <xdr:cNvPr id="7" name="Rectangle: Rounded Corners 6">
          <a:extLst>
            <a:ext uri="{FF2B5EF4-FFF2-40B4-BE49-F238E27FC236}">
              <a16:creationId xmlns:a16="http://schemas.microsoft.com/office/drawing/2014/main" id="{98B3BF17-33E6-4A4C-A2AF-E61826EB19CE}"/>
            </a:ext>
          </a:extLst>
        </xdr:cNvPr>
        <xdr:cNvSpPr/>
      </xdr:nvSpPr>
      <xdr:spPr>
        <a:xfrm>
          <a:off x="3981525" y="1047750"/>
          <a:ext cx="2476800" cy="799200"/>
        </a:xfrm>
        <a:prstGeom prst="roundRect">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590700</xdr:colOff>
      <xdr:row>5</xdr:row>
      <xdr:rowOff>95250</xdr:rowOff>
    </xdr:from>
    <xdr:to>
      <xdr:col>15</xdr:col>
      <xdr:colOff>19200</xdr:colOff>
      <xdr:row>9</xdr:row>
      <xdr:rowOff>133350</xdr:rowOff>
    </xdr:to>
    <xdr:sp macro="" textlink="">
      <xdr:nvSpPr>
        <xdr:cNvPr id="8" name="Rectangle: Rounded Corners 7">
          <a:extLst>
            <a:ext uri="{FF2B5EF4-FFF2-40B4-BE49-F238E27FC236}">
              <a16:creationId xmlns:a16="http://schemas.microsoft.com/office/drawing/2014/main" id="{E9A38E1A-88F3-44A4-842E-99BD12FF4417}"/>
            </a:ext>
          </a:extLst>
        </xdr:cNvPr>
        <xdr:cNvSpPr/>
      </xdr:nvSpPr>
      <xdr:spPr>
        <a:xfrm>
          <a:off x="6686700" y="1047750"/>
          <a:ext cx="2476500" cy="800100"/>
        </a:xfrm>
        <a:prstGeom prst="roundRect">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247575</xdr:colOff>
      <xdr:row>5</xdr:row>
      <xdr:rowOff>95250</xdr:rowOff>
    </xdr:from>
    <xdr:to>
      <xdr:col>19</xdr:col>
      <xdr:colOff>285975</xdr:colOff>
      <xdr:row>9</xdr:row>
      <xdr:rowOff>133349</xdr:rowOff>
    </xdr:to>
    <xdr:sp macro="" textlink="">
      <xdr:nvSpPr>
        <xdr:cNvPr id="9" name="Rectangle: Rounded Corners 8">
          <a:extLst>
            <a:ext uri="{FF2B5EF4-FFF2-40B4-BE49-F238E27FC236}">
              <a16:creationId xmlns:a16="http://schemas.microsoft.com/office/drawing/2014/main" id="{AE2A4EE2-8B13-43CE-88C5-D09394D09CB8}"/>
            </a:ext>
          </a:extLst>
        </xdr:cNvPr>
        <xdr:cNvSpPr/>
      </xdr:nvSpPr>
      <xdr:spPr>
        <a:xfrm>
          <a:off x="8172375" y="666750"/>
          <a:ext cx="2476800" cy="800099"/>
        </a:xfrm>
        <a:prstGeom prst="roundRect">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247649</xdr:colOff>
      <xdr:row>10</xdr:row>
      <xdr:rowOff>38100</xdr:rowOff>
    </xdr:from>
    <xdr:to>
      <xdr:col>19</xdr:col>
      <xdr:colOff>600074</xdr:colOff>
      <xdr:row>22</xdr:row>
      <xdr:rowOff>104774</xdr:rowOff>
    </xdr:to>
    <xdr:sp macro="" textlink="">
      <xdr:nvSpPr>
        <xdr:cNvPr id="10" name="Rectangle: Rounded Corners 9">
          <a:extLst>
            <a:ext uri="{FF2B5EF4-FFF2-40B4-BE49-F238E27FC236}">
              <a16:creationId xmlns:a16="http://schemas.microsoft.com/office/drawing/2014/main" id="{CB670314-DEA8-8927-038E-CF87A8C75D66}"/>
            </a:ext>
          </a:extLst>
        </xdr:cNvPr>
        <xdr:cNvSpPr/>
      </xdr:nvSpPr>
      <xdr:spPr>
        <a:xfrm>
          <a:off x="8782049" y="1943100"/>
          <a:ext cx="3400425" cy="2352674"/>
        </a:xfrm>
        <a:prstGeom prst="roundRect">
          <a:avLst>
            <a:gd name="adj" fmla="val 5213"/>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66676</xdr:colOff>
      <xdr:row>10</xdr:row>
      <xdr:rowOff>38100</xdr:rowOff>
    </xdr:from>
    <xdr:to>
      <xdr:col>8</xdr:col>
      <xdr:colOff>238125</xdr:colOff>
      <xdr:row>35</xdr:row>
      <xdr:rowOff>19049</xdr:rowOff>
    </xdr:to>
    <xdr:sp macro="" textlink="">
      <xdr:nvSpPr>
        <xdr:cNvPr id="11" name="Rectangle: Rounded Corners 10">
          <a:extLst>
            <a:ext uri="{FF2B5EF4-FFF2-40B4-BE49-F238E27FC236}">
              <a16:creationId xmlns:a16="http://schemas.microsoft.com/office/drawing/2014/main" id="{64893434-F489-BAA9-448B-C061C34F9289}"/>
            </a:ext>
          </a:extLst>
        </xdr:cNvPr>
        <xdr:cNvSpPr/>
      </xdr:nvSpPr>
      <xdr:spPr>
        <a:xfrm>
          <a:off x="1285876" y="1943100"/>
          <a:ext cx="3829049" cy="4743449"/>
        </a:xfrm>
        <a:prstGeom prst="roundRect">
          <a:avLst>
            <a:gd name="adj" fmla="val 2067"/>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200025</xdr:colOff>
      <xdr:row>22</xdr:row>
      <xdr:rowOff>152400</xdr:rowOff>
    </xdr:from>
    <xdr:to>
      <xdr:col>19</xdr:col>
      <xdr:colOff>600075</xdr:colOff>
      <xdr:row>35</xdr:row>
      <xdr:rowOff>38100</xdr:rowOff>
    </xdr:to>
    <xdr:sp macro="" textlink="">
      <xdr:nvSpPr>
        <xdr:cNvPr id="12" name="Rectangle: Rounded Corners 11">
          <a:extLst>
            <a:ext uri="{FF2B5EF4-FFF2-40B4-BE49-F238E27FC236}">
              <a16:creationId xmlns:a16="http://schemas.microsoft.com/office/drawing/2014/main" id="{E655741F-5A47-487F-9327-7F90CCDD4D91}"/>
            </a:ext>
          </a:extLst>
        </xdr:cNvPr>
        <xdr:cNvSpPr/>
      </xdr:nvSpPr>
      <xdr:spPr>
        <a:xfrm>
          <a:off x="8734425" y="4343400"/>
          <a:ext cx="3448050" cy="2362200"/>
        </a:xfrm>
        <a:prstGeom prst="roundRect">
          <a:avLst>
            <a:gd name="adj" fmla="val 4072"/>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142875</xdr:colOff>
      <xdr:row>9</xdr:row>
      <xdr:rowOff>180975</xdr:rowOff>
    </xdr:from>
    <xdr:to>
      <xdr:col>23</xdr:col>
      <xdr:colOff>0</xdr:colOff>
      <xdr:row>35</xdr:row>
      <xdr:rowOff>95251</xdr:rowOff>
    </xdr:to>
    <xdr:sp macro="" textlink="">
      <xdr:nvSpPr>
        <xdr:cNvPr id="13" name="Rectangle: Rounded Corners 12">
          <a:extLst>
            <a:ext uri="{FF2B5EF4-FFF2-40B4-BE49-F238E27FC236}">
              <a16:creationId xmlns:a16="http://schemas.microsoft.com/office/drawing/2014/main" id="{31BB86E0-34CF-4985-A61B-BA3E2D02B430}"/>
            </a:ext>
          </a:extLst>
        </xdr:cNvPr>
        <xdr:cNvSpPr/>
      </xdr:nvSpPr>
      <xdr:spPr>
        <a:xfrm>
          <a:off x="11115675" y="1514475"/>
          <a:ext cx="1685925" cy="4867276"/>
        </a:xfrm>
        <a:prstGeom prst="roundRect">
          <a:avLst>
            <a:gd name="adj" fmla="val 3893"/>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133350</xdr:colOff>
      <xdr:row>2</xdr:row>
      <xdr:rowOff>104775</xdr:rowOff>
    </xdr:from>
    <xdr:to>
      <xdr:col>22</xdr:col>
      <xdr:colOff>561976</xdr:colOff>
      <xdr:row>9</xdr:row>
      <xdr:rowOff>95250</xdr:rowOff>
    </xdr:to>
    <xdr:sp macro="" textlink="">
      <xdr:nvSpPr>
        <xdr:cNvPr id="14" name="Rectangle: Rounded Corners 13">
          <a:extLst>
            <a:ext uri="{FF2B5EF4-FFF2-40B4-BE49-F238E27FC236}">
              <a16:creationId xmlns:a16="http://schemas.microsoft.com/office/drawing/2014/main" id="{193C8A72-C509-2F86-5128-78C68B721F62}"/>
            </a:ext>
          </a:extLst>
        </xdr:cNvPr>
        <xdr:cNvSpPr/>
      </xdr:nvSpPr>
      <xdr:spPr>
        <a:xfrm>
          <a:off x="12325350" y="485775"/>
          <a:ext cx="1647826" cy="1323975"/>
        </a:xfrm>
        <a:prstGeom prst="roundRect">
          <a:avLst>
            <a:gd name="adj" fmla="val 4529"/>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85726</xdr:colOff>
      <xdr:row>22</xdr:row>
      <xdr:rowOff>142875</xdr:rowOff>
    </xdr:from>
    <xdr:to>
      <xdr:col>8</xdr:col>
      <xdr:colOff>219076</xdr:colOff>
      <xdr:row>34</xdr:row>
      <xdr:rowOff>152401</xdr:rowOff>
    </xdr:to>
    <xdr:graphicFrame macro="">
      <xdr:nvGraphicFramePr>
        <xdr:cNvPr id="16" name="Chart 15">
          <a:extLst>
            <a:ext uri="{FF2B5EF4-FFF2-40B4-BE49-F238E27FC236}">
              <a16:creationId xmlns:a16="http://schemas.microsoft.com/office/drawing/2014/main" id="{BF51E87E-6237-48E5-BAF9-DB0F38953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10</xdr:row>
      <xdr:rowOff>19051</xdr:rowOff>
    </xdr:from>
    <xdr:to>
      <xdr:col>8</xdr:col>
      <xdr:colOff>247650</xdr:colOff>
      <xdr:row>22</xdr:row>
      <xdr:rowOff>85724</xdr:rowOff>
    </xdr:to>
    <xdr:graphicFrame macro="">
      <xdr:nvGraphicFramePr>
        <xdr:cNvPr id="18" name="Chart 17">
          <a:extLst>
            <a:ext uri="{FF2B5EF4-FFF2-40B4-BE49-F238E27FC236}">
              <a16:creationId xmlns:a16="http://schemas.microsoft.com/office/drawing/2014/main" id="{B54F0EB3-7B9D-40DE-98E8-D0B1AD16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22</xdr:row>
      <xdr:rowOff>133350</xdr:rowOff>
    </xdr:from>
    <xdr:to>
      <xdr:col>19</xdr:col>
      <xdr:colOff>552450</xdr:colOff>
      <xdr:row>34</xdr:row>
      <xdr:rowOff>190499</xdr:rowOff>
    </xdr:to>
    <xdr:graphicFrame macro="">
      <xdr:nvGraphicFramePr>
        <xdr:cNvPr id="19" name="Chart 18">
          <a:extLst>
            <a:ext uri="{FF2B5EF4-FFF2-40B4-BE49-F238E27FC236}">
              <a16:creationId xmlns:a16="http://schemas.microsoft.com/office/drawing/2014/main" id="{979E6EDB-A7B3-4FD7-8BA5-6E4472FC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200025</xdr:colOff>
      <xdr:row>10</xdr:row>
      <xdr:rowOff>9525</xdr:rowOff>
    </xdr:from>
    <xdr:to>
      <xdr:col>19</xdr:col>
      <xdr:colOff>552450</xdr:colOff>
      <xdr:row>22</xdr:row>
      <xdr:rowOff>57150</xdr:rowOff>
    </xdr:to>
    <xdr:graphicFrame macro="">
      <xdr:nvGraphicFramePr>
        <xdr:cNvPr id="20" name="Chart 19">
          <a:extLst>
            <a:ext uri="{FF2B5EF4-FFF2-40B4-BE49-F238E27FC236}">
              <a16:creationId xmlns:a16="http://schemas.microsoft.com/office/drawing/2014/main" id="{21CAEA87-7211-4752-9C55-B6A6D1C49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85723</xdr:colOff>
      <xdr:row>2</xdr:row>
      <xdr:rowOff>123824</xdr:rowOff>
    </xdr:from>
    <xdr:to>
      <xdr:col>19</xdr:col>
      <xdr:colOff>219075</xdr:colOff>
      <xdr:row>4</xdr:row>
      <xdr:rowOff>171449</xdr:rowOff>
    </xdr:to>
    <xdr:sp macro="" textlink="">
      <xdr:nvSpPr>
        <xdr:cNvPr id="6" name="TextBox 5">
          <a:extLst>
            <a:ext uri="{FF2B5EF4-FFF2-40B4-BE49-F238E27FC236}">
              <a16:creationId xmlns:a16="http://schemas.microsoft.com/office/drawing/2014/main" id="{390F96DB-1AA9-0AB3-311F-8DEAE8F60395}"/>
            </a:ext>
          </a:extLst>
        </xdr:cNvPr>
        <xdr:cNvSpPr txBox="1"/>
      </xdr:nvSpPr>
      <xdr:spPr>
        <a:xfrm>
          <a:off x="1304923" y="504824"/>
          <a:ext cx="10496552" cy="428625"/>
        </a:xfrm>
        <a:prstGeom prst="rect">
          <a:avLst/>
        </a:prstGeom>
        <a:solidFill>
          <a:srgbClr val="F4F6F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chemeClr val="tx1"/>
              </a:solidFill>
              <a:latin typeface="Arial Black" panose="020B0A04020102020204" pitchFamily="34" charset="0"/>
            </a:rPr>
            <a:t>M-CASH LOAN RECOVERY DASHBOARD</a:t>
          </a:r>
        </a:p>
      </xdr:txBody>
    </xdr:sp>
    <xdr:clientData/>
  </xdr:twoCellAnchor>
  <xdr:twoCellAnchor editAs="oneCell">
    <xdr:from>
      <xdr:col>20</xdr:col>
      <xdr:colOff>142876</xdr:colOff>
      <xdr:row>9</xdr:row>
      <xdr:rowOff>180975</xdr:rowOff>
    </xdr:from>
    <xdr:to>
      <xdr:col>22</xdr:col>
      <xdr:colOff>571500</xdr:colOff>
      <xdr:row>18</xdr:row>
      <xdr:rowOff>28576</xdr:rowOff>
    </xdr:to>
    <mc:AlternateContent xmlns:mc="http://schemas.openxmlformats.org/markup-compatibility/2006" xmlns:a14="http://schemas.microsoft.com/office/drawing/2010/main">
      <mc:Choice Requires="a14">
        <xdr:graphicFrame macro="">
          <xdr:nvGraphicFramePr>
            <xdr:cNvPr id="15" name="Loan_Type 1">
              <a:extLst>
                <a:ext uri="{FF2B5EF4-FFF2-40B4-BE49-F238E27FC236}">
                  <a16:creationId xmlns:a16="http://schemas.microsoft.com/office/drawing/2014/main" id="{F8516DD5-F3E5-48F3-AFF1-5ECB657B6B2E}"/>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mlns="">
        <xdr:sp macro="" textlink="">
          <xdr:nvSpPr>
            <xdr:cNvPr id="0" name=""/>
            <xdr:cNvSpPr>
              <a:spLocks noTextEdit="1"/>
            </xdr:cNvSpPr>
          </xdr:nvSpPr>
          <xdr:spPr>
            <a:xfrm>
              <a:off x="11115676" y="1514475"/>
              <a:ext cx="1647824" cy="15621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18</xdr:row>
      <xdr:rowOff>47625</xdr:rowOff>
    </xdr:from>
    <xdr:to>
      <xdr:col>22</xdr:col>
      <xdr:colOff>600075</xdr:colOff>
      <xdr:row>23</xdr:row>
      <xdr:rowOff>57150</xdr:rowOff>
    </xdr:to>
    <mc:AlternateContent xmlns:mc="http://schemas.openxmlformats.org/markup-compatibility/2006" xmlns:a14="http://schemas.microsoft.com/office/drawing/2010/main">
      <mc:Choice Requires="a14">
        <xdr:graphicFrame macro="">
          <xdr:nvGraphicFramePr>
            <xdr:cNvPr id="21" name="Legal_Action_Taken 1">
              <a:extLst>
                <a:ext uri="{FF2B5EF4-FFF2-40B4-BE49-F238E27FC236}">
                  <a16:creationId xmlns:a16="http://schemas.microsoft.com/office/drawing/2014/main" id="{79DB87BE-0D05-40B8-8B9B-F77F99541DF3}"/>
                </a:ext>
              </a:extLst>
            </xdr:cNvPr>
            <xdr:cNvGraphicFramePr/>
          </xdr:nvGraphicFramePr>
          <xdr:xfrm>
            <a:off x="0" y="0"/>
            <a:ext cx="0" cy="0"/>
          </xdr:xfrm>
          <a:graphic>
            <a:graphicData uri="http://schemas.microsoft.com/office/drawing/2010/slicer">
              <sle:slicer xmlns:sle="http://schemas.microsoft.com/office/drawing/2010/slicer" name="Legal_Action_Taken 1"/>
            </a:graphicData>
          </a:graphic>
        </xdr:graphicFrame>
      </mc:Choice>
      <mc:Fallback xmlns="">
        <xdr:sp macro="" textlink="">
          <xdr:nvSpPr>
            <xdr:cNvPr id="0" name=""/>
            <xdr:cNvSpPr>
              <a:spLocks noTextEdit="1"/>
            </xdr:cNvSpPr>
          </xdr:nvSpPr>
          <xdr:spPr>
            <a:xfrm>
              <a:off x="11125200" y="3095625"/>
              <a:ext cx="1666875"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171449</xdr:colOff>
      <xdr:row>30</xdr:row>
      <xdr:rowOff>28574</xdr:rowOff>
    </xdr:from>
    <xdr:to>
      <xdr:col>22</xdr:col>
      <xdr:colOff>590550</xdr:colOff>
      <xdr:row>35</xdr:row>
      <xdr:rowOff>47625</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C1874945-A7D7-4865-B278-EC38649CFA2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144249" y="5353050"/>
              <a:ext cx="1600201" cy="9810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123825</xdr:colOff>
      <xdr:row>6</xdr:row>
      <xdr:rowOff>180975</xdr:rowOff>
    </xdr:from>
    <xdr:to>
      <xdr:col>5</xdr:col>
      <xdr:colOff>114301</xdr:colOff>
      <xdr:row>9</xdr:row>
      <xdr:rowOff>38100</xdr:rowOff>
    </xdr:to>
    <xdr:sp macro="" textlink="'Pivot Tables'!A4">
      <xdr:nvSpPr>
        <xdr:cNvPr id="24" name="TextBox 23">
          <a:extLst>
            <a:ext uri="{FF2B5EF4-FFF2-40B4-BE49-F238E27FC236}">
              <a16:creationId xmlns:a16="http://schemas.microsoft.com/office/drawing/2014/main" id="{8EB5D421-66F0-622E-8980-8339DFB25271}"/>
            </a:ext>
          </a:extLst>
        </xdr:cNvPr>
        <xdr:cNvSpPr txBox="1"/>
      </xdr:nvSpPr>
      <xdr:spPr>
        <a:xfrm>
          <a:off x="1952625" y="1323975"/>
          <a:ext cx="120967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F8373B-0571-4BAF-A1E1-F8C81A026CFF}" type="TxLink">
            <a:rPr lang="en-US" sz="2800" b="1" i="0" u="none" strike="noStrike">
              <a:solidFill>
                <a:schemeClr val="tx1"/>
              </a:solidFill>
              <a:latin typeface="Arial" panose="020B0604020202020204" pitchFamily="34" charset="0"/>
              <a:cs typeface="Arial" panose="020B0604020202020204" pitchFamily="34" charset="0"/>
            </a:rPr>
            <a:pPr algn="ctr"/>
            <a:t>500</a:t>
          </a:fld>
          <a:endParaRPr lang="en-GB" sz="28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57150</xdr:colOff>
      <xdr:row>5</xdr:row>
      <xdr:rowOff>114300</xdr:rowOff>
    </xdr:from>
    <xdr:to>
      <xdr:col>5</xdr:col>
      <xdr:colOff>552450</xdr:colOff>
      <xdr:row>6</xdr:row>
      <xdr:rowOff>161925</xdr:rowOff>
    </xdr:to>
    <xdr:sp macro="" textlink="">
      <xdr:nvSpPr>
        <xdr:cNvPr id="25" name="TextBox 24">
          <a:extLst>
            <a:ext uri="{FF2B5EF4-FFF2-40B4-BE49-F238E27FC236}">
              <a16:creationId xmlns:a16="http://schemas.microsoft.com/office/drawing/2014/main" id="{60482D6E-071C-E870-ABBF-8D452340603D}"/>
            </a:ext>
          </a:extLst>
        </xdr:cNvPr>
        <xdr:cNvSpPr txBox="1"/>
      </xdr:nvSpPr>
      <xdr:spPr>
        <a:xfrm>
          <a:off x="57150" y="685800"/>
          <a:ext cx="2324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tx1"/>
              </a:solidFill>
              <a:latin typeface="Arial" panose="020B0604020202020204" pitchFamily="34" charset="0"/>
              <a:cs typeface="Arial" panose="020B0604020202020204" pitchFamily="34" charset="0"/>
            </a:rPr>
            <a:t>Total Number of Borrowers</a:t>
          </a:r>
        </a:p>
      </xdr:txBody>
    </xdr:sp>
    <xdr:clientData/>
  </xdr:twoCellAnchor>
  <xdr:twoCellAnchor>
    <xdr:from>
      <xdr:col>7</xdr:col>
      <xdr:colOff>285749</xdr:colOff>
      <xdr:row>7</xdr:row>
      <xdr:rowOff>19051</xdr:rowOff>
    </xdr:from>
    <xdr:to>
      <xdr:col>10</xdr:col>
      <xdr:colOff>47625</xdr:colOff>
      <xdr:row>9</xdr:row>
      <xdr:rowOff>76200</xdr:rowOff>
    </xdr:to>
    <xdr:sp macro="" textlink="'Pivot Tables'!I28">
      <xdr:nvSpPr>
        <xdr:cNvPr id="26" name="TextBox 25">
          <a:extLst>
            <a:ext uri="{FF2B5EF4-FFF2-40B4-BE49-F238E27FC236}">
              <a16:creationId xmlns:a16="http://schemas.microsoft.com/office/drawing/2014/main" id="{274CE0DB-E0CE-45BE-111D-4CF42AFEF98C}"/>
            </a:ext>
          </a:extLst>
        </xdr:cNvPr>
        <xdr:cNvSpPr txBox="1"/>
      </xdr:nvSpPr>
      <xdr:spPr>
        <a:xfrm>
          <a:off x="4552949" y="1352551"/>
          <a:ext cx="1590676"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F14D4-923E-486C-82A1-BFE6411733F0}" type="TxLink">
            <a:rPr lang="en-US" sz="2400" b="1" i="0" u="none" strike="noStrike">
              <a:solidFill>
                <a:srgbClr val="000000"/>
              </a:solidFill>
              <a:latin typeface="Arial" panose="020B0604020202020204" pitchFamily="34" charset="0"/>
              <a:cs typeface="Arial" panose="020B0604020202020204" pitchFamily="34" charset="0"/>
            </a:rPr>
            <a:pPr algn="ctr"/>
            <a:t>₦512.45M</a:t>
          </a:fld>
          <a:endParaRPr lang="en-GB" sz="2400" b="1">
            <a:solidFill>
              <a:schemeClr val="tx1"/>
            </a:solidFill>
            <a:latin typeface="Arial" panose="020B0604020202020204" pitchFamily="34" charset="0"/>
            <a:cs typeface="Arial" panose="020B0604020202020204" pitchFamily="34" charset="0"/>
          </a:endParaRPr>
        </a:p>
      </xdr:txBody>
    </xdr:sp>
    <xdr:clientData/>
  </xdr:twoCellAnchor>
  <xdr:twoCellAnchor>
    <xdr:from>
      <xdr:col>6</xdr:col>
      <xdr:colOff>590550</xdr:colOff>
      <xdr:row>5</xdr:row>
      <xdr:rowOff>133350</xdr:rowOff>
    </xdr:from>
    <xdr:to>
      <xdr:col>10</xdr:col>
      <xdr:colOff>180976</xdr:colOff>
      <xdr:row>7</xdr:row>
      <xdr:rowOff>9525</xdr:rowOff>
    </xdr:to>
    <xdr:sp macro="" textlink="">
      <xdr:nvSpPr>
        <xdr:cNvPr id="27" name="TextBox 26">
          <a:extLst>
            <a:ext uri="{FF2B5EF4-FFF2-40B4-BE49-F238E27FC236}">
              <a16:creationId xmlns:a16="http://schemas.microsoft.com/office/drawing/2014/main" id="{5A10355B-0576-BC0E-A95F-26A1618F0361}"/>
            </a:ext>
          </a:extLst>
        </xdr:cNvPr>
        <xdr:cNvSpPr txBox="1"/>
      </xdr:nvSpPr>
      <xdr:spPr>
        <a:xfrm>
          <a:off x="3028950" y="704850"/>
          <a:ext cx="20288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tx1"/>
              </a:solidFill>
              <a:latin typeface="Arial" panose="020B0604020202020204" pitchFamily="34" charset="0"/>
              <a:cs typeface="Arial" panose="020B0604020202020204" pitchFamily="34" charset="0"/>
            </a:rPr>
            <a:t>Total</a:t>
          </a:r>
          <a:r>
            <a:rPr lang="en-GB" sz="1200" b="1" baseline="0">
              <a:solidFill>
                <a:schemeClr val="tx1"/>
              </a:solidFill>
              <a:latin typeface="Arial" panose="020B0604020202020204" pitchFamily="34" charset="0"/>
              <a:cs typeface="Arial" panose="020B0604020202020204" pitchFamily="34" charset="0"/>
            </a:rPr>
            <a:t> Loans</a:t>
          </a:r>
          <a:endParaRPr lang="en-GB"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466725</xdr:colOff>
      <xdr:row>7</xdr:row>
      <xdr:rowOff>28574</xdr:rowOff>
    </xdr:from>
    <xdr:to>
      <xdr:col>14</xdr:col>
      <xdr:colOff>304800</xdr:colOff>
      <xdr:row>9</xdr:row>
      <xdr:rowOff>57149</xdr:rowOff>
    </xdr:to>
    <xdr:sp macro="" textlink="'Pivot Tables'!G12">
      <xdr:nvSpPr>
        <xdr:cNvPr id="28" name="TextBox 27">
          <a:extLst>
            <a:ext uri="{FF2B5EF4-FFF2-40B4-BE49-F238E27FC236}">
              <a16:creationId xmlns:a16="http://schemas.microsoft.com/office/drawing/2014/main" id="{22BB96C7-B4BE-C299-8C74-01AA2F6D21A7}"/>
            </a:ext>
          </a:extLst>
        </xdr:cNvPr>
        <xdr:cNvSpPr txBox="1"/>
      </xdr:nvSpPr>
      <xdr:spPr>
        <a:xfrm>
          <a:off x="7172325" y="1362074"/>
          <a:ext cx="1666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752648-2266-4DB0-8867-272D5F90072A}" type="TxLink">
            <a:rPr lang="en-US" sz="2400" b="1" i="0" u="none" strike="noStrike">
              <a:solidFill>
                <a:srgbClr val="000000"/>
              </a:solidFill>
              <a:latin typeface="Arial" panose="020B0604020202020204" pitchFamily="34" charset="0"/>
              <a:ea typeface="+mn-ea"/>
              <a:cs typeface="Arial" panose="020B0604020202020204" pitchFamily="34" charset="0"/>
            </a:rPr>
            <a:pPr marL="0" indent="0" algn="ctr"/>
            <a:t>₦308.46M</a:t>
          </a:fld>
          <a:endParaRPr lang="en-GB" sz="24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11</xdr:col>
      <xdr:colOff>47625</xdr:colOff>
      <xdr:row>5</xdr:row>
      <xdr:rowOff>123825</xdr:rowOff>
    </xdr:from>
    <xdr:to>
      <xdr:col>14</xdr:col>
      <xdr:colOff>476250</xdr:colOff>
      <xdr:row>6</xdr:row>
      <xdr:rowOff>180975</xdr:rowOff>
    </xdr:to>
    <xdr:sp macro="" textlink="">
      <xdr:nvSpPr>
        <xdr:cNvPr id="29" name="TextBox 28">
          <a:extLst>
            <a:ext uri="{FF2B5EF4-FFF2-40B4-BE49-F238E27FC236}">
              <a16:creationId xmlns:a16="http://schemas.microsoft.com/office/drawing/2014/main" id="{013E106B-BD64-FABE-515F-4C991BD35617}"/>
            </a:ext>
          </a:extLst>
        </xdr:cNvPr>
        <xdr:cNvSpPr txBox="1"/>
      </xdr:nvSpPr>
      <xdr:spPr>
        <a:xfrm>
          <a:off x="5534025" y="695325"/>
          <a:ext cx="22574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latin typeface="Arial" panose="020B0604020202020204" pitchFamily="34" charset="0"/>
              <a:cs typeface="Arial" panose="020B0604020202020204" pitchFamily="34" charset="0"/>
            </a:rPr>
            <a:t>Fully</a:t>
          </a:r>
          <a:r>
            <a:rPr lang="en-GB" sz="1200" b="1" baseline="0">
              <a:latin typeface="Arial" panose="020B0604020202020204" pitchFamily="34" charset="0"/>
              <a:cs typeface="Arial" panose="020B0604020202020204" pitchFamily="34" charset="0"/>
            </a:rPr>
            <a:t> Recovered Loans</a:t>
          </a:r>
          <a:endParaRPr lang="en-GB" sz="1200" b="1">
            <a:latin typeface="Arial" panose="020B0604020202020204" pitchFamily="34" charset="0"/>
            <a:cs typeface="Arial" panose="020B0604020202020204" pitchFamily="34" charset="0"/>
          </a:endParaRPr>
        </a:p>
      </xdr:txBody>
    </xdr:sp>
    <xdr:clientData/>
  </xdr:twoCellAnchor>
  <xdr:twoCellAnchor>
    <xdr:from>
      <xdr:col>16</xdr:col>
      <xdr:colOff>257175</xdr:colOff>
      <xdr:row>5</xdr:row>
      <xdr:rowOff>133350</xdr:rowOff>
    </xdr:from>
    <xdr:to>
      <xdr:col>18</xdr:col>
      <xdr:colOff>571500</xdr:colOff>
      <xdr:row>7</xdr:row>
      <xdr:rowOff>0</xdr:rowOff>
    </xdr:to>
    <xdr:sp macro="" textlink="">
      <xdr:nvSpPr>
        <xdr:cNvPr id="30" name="TextBox 29">
          <a:extLst>
            <a:ext uri="{FF2B5EF4-FFF2-40B4-BE49-F238E27FC236}">
              <a16:creationId xmlns:a16="http://schemas.microsoft.com/office/drawing/2014/main" id="{1851E68E-2C20-B8AB-C244-680E7F86D478}"/>
            </a:ext>
          </a:extLst>
        </xdr:cNvPr>
        <xdr:cNvSpPr txBox="1"/>
      </xdr:nvSpPr>
      <xdr:spPr>
        <a:xfrm>
          <a:off x="8791575" y="704850"/>
          <a:ext cx="1533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Pending</a:t>
          </a:r>
          <a:r>
            <a:rPr lang="en-GB" sz="1200" b="1" baseline="0">
              <a:latin typeface="Arial" panose="020B0604020202020204" pitchFamily="34" charset="0"/>
              <a:cs typeface="Arial" panose="020B0604020202020204" pitchFamily="34" charset="0"/>
            </a:rPr>
            <a:t> Loans</a:t>
          </a:r>
          <a:endParaRPr lang="en-GB" sz="1200" b="1">
            <a:latin typeface="Arial" panose="020B0604020202020204" pitchFamily="34" charset="0"/>
            <a:cs typeface="Arial" panose="020B0604020202020204" pitchFamily="34" charset="0"/>
          </a:endParaRPr>
        </a:p>
      </xdr:txBody>
    </xdr:sp>
    <xdr:clientData/>
  </xdr:twoCellAnchor>
  <xdr:twoCellAnchor>
    <xdr:from>
      <xdr:col>16</xdr:col>
      <xdr:colOff>247650</xdr:colOff>
      <xdr:row>7</xdr:row>
      <xdr:rowOff>28575</xdr:rowOff>
    </xdr:from>
    <xdr:to>
      <xdr:col>18</xdr:col>
      <xdr:colOff>495300</xdr:colOff>
      <xdr:row>9</xdr:row>
      <xdr:rowOff>38100</xdr:rowOff>
    </xdr:to>
    <xdr:sp macro="" textlink="'Pivot Tables'!I23">
      <xdr:nvSpPr>
        <xdr:cNvPr id="31" name="TextBox 30">
          <a:extLst>
            <a:ext uri="{FF2B5EF4-FFF2-40B4-BE49-F238E27FC236}">
              <a16:creationId xmlns:a16="http://schemas.microsoft.com/office/drawing/2014/main" id="{342F297E-70F6-4A5F-743D-0B4F6ED4AD65}"/>
            </a:ext>
          </a:extLst>
        </xdr:cNvPr>
        <xdr:cNvSpPr txBox="1"/>
      </xdr:nvSpPr>
      <xdr:spPr>
        <a:xfrm>
          <a:off x="10001250" y="136207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458DDB-844E-41EF-B3BB-CF7D68EA33B9}" type="TxLink">
            <a:rPr lang="en-US" sz="2400" b="1" i="0" u="none" strike="noStrike">
              <a:solidFill>
                <a:srgbClr val="000000"/>
              </a:solidFill>
              <a:latin typeface="Arial" panose="020B0604020202020204" pitchFamily="34" charset="0"/>
              <a:cs typeface="Arial" panose="020B0604020202020204" pitchFamily="34" charset="0"/>
            </a:rPr>
            <a:pPr/>
            <a:t>₦281.36M</a:t>
          </a:fld>
          <a:endParaRPr lang="en-GB" sz="2400" b="1">
            <a:latin typeface="Arial" panose="020B0604020202020204" pitchFamily="34" charset="0"/>
            <a:cs typeface="Arial" panose="020B0604020202020204" pitchFamily="34" charset="0"/>
          </a:endParaRPr>
        </a:p>
      </xdr:txBody>
    </xdr:sp>
    <xdr:clientData/>
  </xdr:twoCellAnchor>
  <xdr:twoCellAnchor editAs="oneCell">
    <xdr:from>
      <xdr:col>2</xdr:col>
      <xdr:colOff>200025</xdr:colOff>
      <xdr:row>6</xdr:row>
      <xdr:rowOff>152400</xdr:rowOff>
    </xdr:from>
    <xdr:to>
      <xdr:col>3</xdr:col>
      <xdr:colOff>76200</xdr:colOff>
      <xdr:row>9</xdr:row>
      <xdr:rowOff>28575</xdr:rowOff>
    </xdr:to>
    <xdr:pic>
      <xdr:nvPicPr>
        <xdr:cNvPr id="33" name="Graphic 32" descr="User with solid fill">
          <a:extLst>
            <a:ext uri="{FF2B5EF4-FFF2-40B4-BE49-F238E27FC236}">
              <a16:creationId xmlns:a16="http://schemas.microsoft.com/office/drawing/2014/main" id="{C25A2A97-103B-608D-3CC3-23EE86FB71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9225" y="1295400"/>
          <a:ext cx="485775" cy="447675"/>
        </a:xfrm>
        <a:prstGeom prst="rect">
          <a:avLst/>
        </a:prstGeom>
      </xdr:spPr>
    </xdr:pic>
    <xdr:clientData/>
  </xdr:twoCellAnchor>
  <xdr:twoCellAnchor>
    <xdr:from>
      <xdr:col>8</xdr:col>
      <xdr:colOff>285750</xdr:colOff>
      <xdr:row>22</xdr:row>
      <xdr:rowOff>142874</xdr:rowOff>
    </xdr:from>
    <xdr:to>
      <xdr:col>14</xdr:col>
      <xdr:colOff>152399</xdr:colOff>
      <xdr:row>35</xdr:row>
      <xdr:rowOff>28575</xdr:rowOff>
    </xdr:to>
    <xdr:sp macro="" textlink="">
      <xdr:nvSpPr>
        <xdr:cNvPr id="34" name="Rectangle: Rounded Corners 33">
          <a:extLst>
            <a:ext uri="{FF2B5EF4-FFF2-40B4-BE49-F238E27FC236}">
              <a16:creationId xmlns:a16="http://schemas.microsoft.com/office/drawing/2014/main" id="{C821FD88-CA7C-24B3-325F-48C300C41F1A}"/>
            </a:ext>
          </a:extLst>
        </xdr:cNvPr>
        <xdr:cNvSpPr/>
      </xdr:nvSpPr>
      <xdr:spPr>
        <a:xfrm>
          <a:off x="5162550" y="4333874"/>
          <a:ext cx="3524249" cy="2362201"/>
        </a:xfrm>
        <a:prstGeom prst="roundRect">
          <a:avLst>
            <a:gd name="adj" fmla="val 4103"/>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390524</xdr:colOff>
      <xdr:row>6</xdr:row>
      <xdr:rowOff>123823</xdr:rowOff>
    </xdr:from>
    <xdr:to>
      <xdr:col>7</xdr:col>
      <xdr:colOff>304799</xdr:colOff>
      <xdr:row>9</xdr:row>
      <xdr:rowOff>76198</xdr:rowOff>
    </xdr:to>
    <xdr:pic>
      <xdr:nvPicPr>
        <xdr:cNvPr id="36" name="Graphic 35" descr="Money with solid fill">
          <a:extLst>
            <a:ext uri="{FF2B5EF4-FFF2-40B4-BE49-F238E27FC236}">
              <a16:creationId xmlns:a16="http://schemas.microsoft.com/office/drawing/2014/main" id="{F8892DFF-C48A-BF37-0688-11DC9F5161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8124" y="1266823"/>
          <a:ext cx="523875" cy="523875"/>
        </a:xfrm>
        <a:prstGeom prst="rect">
          <a:avLst/>
        </a:prstGeom>
      </xdr:spPr>
    </xdr:pic>
    <xdr:clientData/>
  </xdr:twoCellAnchor>
  <xdr:twoCellAnchor editAs="oneCell">
    <xdr:from>
      <xdr:col>11</xdr:col>
      <xdr:colOff>123825</xdr:colOff>
      <xdr:row>7</xdr:row>
      <xdr:rowOff>38100</xdr:rowOff>
    </xdr:from>
    <xdr:to>
      <xdr:col>11</xdr:col>
      <xdr:colOff>523874</xdr:colOff>
      <xdr:row>9</xdr:row>
      <xdr:rowOff>57149</xdr:rowOff>
    </xdr:to>
    <xdr:pic>
      <xdr:nvPicPr>
        <xdr:cNvPr id="38" name="Graphic 37" descr="Coins with solid fill">
          <a:extLst>
            <a:ext uri="{FF2B5EF4-FFF2-40B4-BE49-F238E27FC236}">
              <a16:creationId xmlns:a16="http://schemas.microsoft.com/office/drawing/2014/main" id="{A5CCF83C-0687-365F-1C73-72433B41C3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29425" y="1371600"/>
          <a:ext cx="400049" cy="400049"/>
        </a:xfrm>
        <a:prstGeom prst="rect">
          <a:avLst/>
        </a:prstGeom>
      </xdr:spPr>
    </xdr:pic>
    <xdr:clientData/>
  </xdr:twoCellAnchor>
  <xdr:twoCellAnchor editAs="oneCell">
    <xdr:from>
      <xdr:col>15</xdr:col>
      <xdr:colOff>323850</xdr:colOff>
      <xdr:row>6</xdr:row>
      <xdr:rowOff>126873</xdr:rowOff>
    </xdr:from>
    <xdr:to>
      <xdr:col>16</xdr:col>
      <xdr:colOff>171450</xdr:colOff>
      <xdr:row>9</xdr:row>
      <xdr:rowOff>85725</xdr:rowOff>
    </xdr:to>
    <xdr:pic>
      <xdr:nvPicPr>
        <xdr:cNvPr id="40" name="Graphic 39" descr="Bar graph with downward trend with solid fill">
          <a:extLst>
            <a:ext uri="{FF2B5EF4-FFF2-40B4-BE49-F238E27FC236}">
              <a16:creationId xmlns:a16="http://schemas.microsoft.com/office/drawing/2014/main" id="{A470166D-82A0-E8D8-FA74-C282772E45F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467850" y="1269873"/>
          <a:ext cx="457200" cy="530352"/>
        </a:xfrm>
        <a:prstGeom prst="rect">
          <a:avLst/>
        </a:prstGeom>
      </xdr:spPr>
    </xdr:pic>
    <xdr:clientData/>
  </xdr:twoCellAnchor>
  <xdr:twoCellAnchor editAs="oneCell">
    <xdr:from>
      <xdr:col>20</xdr:col>
      <xdr:colOff>142876</xdr:colOff>
      <xdr:row>2</xdr:row>
      <xdr:rowOff>0</xdr:rowOff>
    </xdr:from>
    <xdr:to>
      <xdr:col>22</xdr:col>
      <xdr:colOff>438150</xdr:colOff>
      <xdr:row>9</xdr:row>
      <xdr:rowOff>112580</xdr:rowOff>
    </xdr:to>
    <xdr:pic>
      <xdr:nvPicPr>
        <xdr:cNvPr id="42" name="Graphic 41" descr="Suburban scene with solid fill">
          <a:extLst>
            <a:ext uri="{FF2B5EF4-FFF2-40B4-BE49-F238E27FC236}">
              <a16:creationId xmlns:a16="http://schemas.microsoft.com/office/drawing/2014/main" id="{F1BA554A-7F4B-DFD7-C190-0E2163D33A2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115676" y="0"/>
          <a:ext cx="1514474" cy="1446080"/>
        </a:xfrm>
        <a:prstGeom prst="rect">
          <a:avLst/>
        </a:prstGeom>
      </xdr:spPr>
    </xdr:pic>
    <xdr:clientData/>
  </xdr:twoCellAnchor>
  <xdr:twoCellAnchor editAs="oneCell">
    <xdr:from>
      <xdr:col>20</xdr:col>
      <xdr:colOff>152400</xdr:colOff>
      <xdr:row>23</xdr:row>
      <xdr:rowOff>76200</xdr:rowOff>
    </xdr:from>
    <xdr:to>
      <xdr:col>22</xdr:col>
      <xdr:colOff>600075</xdr:colOff>
      <xdr:row>30</xdr:row>
      <xdr:rowOff>0</xdr:rowOff>
    </xdr:to>
    <mc:AlternateContent xmlns:mc="http://schemas.openxmlformats.org/markup-compatibility/2006" xmlns:a14="http://schemas.microsoft.com/office/drawing/2010/main">
      <mc:Choice Requires="a14">
        <xdr:graphicFrame macro="">
          <xdr:nvGraphicFramePr>
            <xdr:cNvPr id="43" name="Recovery_Status 1">
              <a:extLst>
                <a:ext uri="{FF2B5EF4-FFF2-40B4-BE49-F238E27FC236}">
                  <a16:creationId xmlns:a16="http://schemas.microsoft.com/office/drawing/2014/main" id="{616E4D69-165E-4702-8A75-A9A8000874B1}"/>
                </a:ext>
              </a:extLst>
            </xdr:cNvPr>
            <xdr:cNvGraphicFramePr/>
          </xdr:nvGraphicFramePr>
          <xdr:xfrm>
            <a:off x="0" y="0"/>
            <a:ext cx="0" cy="0"/>
          </xdr:xfrm>
          <a:graphic>
            <a:graphicData uri="http://schemas.microsoft.com/office/drawing/2010/slicer">
              <sle:slicer xmlns:sle="http://schemas.microsoft.com/office/drawing/2010/slicer" name="Recovery_Status 1"/>
            </a:graphicData>
          </a:graphic>
        </xdr:graphicFrame>
      </mc:Choice>
      <mc:Fallback xmlns="">
        <xdr:sp macro="" textlink="">
          <xdr:nvSpPr>
            <xdr:cNvPr id="0" name=""/>
            <xdr:cNvSpPr>
              <a:spLocks noTextEdit="1"/>
            </xdr:cNvSpPr>
          </xdr:nvSpPr>
          <xdr:spPr>
            <a:xfrm>
              <a:off x="11125200" y="4076700"/>
              <a:ext cx="1666875"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285750</xdr:colOff>
      <xdr:row>10</xdr:row>
      <xdr:rowOff>38100</xdr:rowOff>
    </xdr:from>
    <xdr:to>
      <xdr:col>14</xdr:col>
      <xdr:colOff>200025</xdr:colOff>
      <xdr:row>22</xdr:row>
      <xdr:rowOff>95250</xdr:rowOff>
    </xdr:to>
    <xdr:sp macro="" textlink="">
      <xdr:nvSpPr>
        <xdr:cNvPr id="32" name="Rectangle: Rounded Corners 31">
          <a:extLst>
            <a:ext uri="{FF2B5EF4-FFF2-40B4-BE49-F238E27FC236}">
              <a16:creationId xmlns:a16="http://schemas.microsoft.com/office/drawing/2014/main" id="{0E7A117F-66C1-4925-8AC6-DD276795AE76}"/>
            </a:ext>
          </a:extLst>
        </xdr:cNvPr>
        <xdr:cNvSpPr/>
      </xdr:nvSpPr>
      <xdr:spPr>
        <a:xfrm>
          <a:off x="5162550" y="1943100"/>
          <a:ext cx="3571875" cy="2343150"/>
        </a:xfrm>
        <a:prstGeom prst="roundRect">
          <a:avLst>
            <a:gd name="adj" fmla="val 4103"/>
          </a:avLst>
        </a:prstGeom>
        <a:solidFill>
          <a:srgbClr val="F4F6F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323850</xdr:colOff>
      <xdr:row>10</xdr:row>
      <xdr:rowOff>38100</xdr:rowOff>
    </xdr:from>
    <xdr:to>
      <xdr:col>14</xdr:col>
      <xdr:colOff>180975</xdr:colOff>
      <xdr:row>22</xdr:row>
      <xdr:rowOff>66675</xdr:rowOff>
    </xdr:to>
    <xdr:graphicFrame macro="">
      <xdr:nvGraphicFramePr>
        <xdr:cNvPr id="17" name="Chart 16">
          <a:extLst>
            <a:ext uri="{FF2B5EF4-FFF2-40B4-BE49-F238E27FC236}">
              <a16:creationId xmlns:a16="http://schemas.microsoft.com/office/drawing/2014/main" id="{D2E1342E-D900-4A25-AFDE-36C19FFCE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304800</xdr:colOff>
      <xdr:row>22</xdr:row>
      <xdr:rowOff>133350</xdr:rowOff>
    </xdr:from>
    <xdr:to>
      <xdr:col>14</xdr:col>
      <xdr:colOff>133350</xdr:colOff>
      <xdr:row>34</xdr:row>
      <xdr:rowOff>180975</xdr:rowOff>
    </xdr:to>
    <xdr:graphicFrame macro="">
      <xdr:nvGraphicFramePr>
        <xdr:cNvPr id="22" name="Chart 21">
          <a:extLst>
            <a:ext uri="{FF2B5EF4-FFF2-40B4-BE49-F238E27FC236}">
              <a16:creationId xmlns:a16="http://schemas.microsoft.com/office/drawing/2014/main" id="{680C543B-DAC6-42B9-8F5B-A0FFFE7B4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goch" refreshedDate="45890.845309143515" createdVersion="8" refreshedVersion="8" minRefreshableVersion="3" recordCount="500" xr:uid="{A0D60164-C3B8-4DC6-AAF0-0BF9B6E9EBF6}">
  <cacheSource type="worksheet">
    <worksheetSource name="Table1_1"/>
  </cacheSource>
  <cacheFields count="21">
    <cacheField name="Borrower_ID" numFmtId="0">
      <sharedItems count="500">
        <s v="BRW_1"/>
        <s v="BRW_2"/>
        <s v="BRW_3"/>
        <s v="BRW_4"/>
        <s v="BRW_5"/>
        <s v="BRW_6"/>
        <s v="BRW_7"/>
        <s v="BRW_8"/>
        <s v="BRW_9"/>
        <s v="BRW_10"/>
        <s v="BRW_11"/>
        <s v="BRW_12"/>
        <s v="BRW_13"/>
        <s v="BRW_14"/>
        <s v="BRW_15"/>
        <s v="BRW_16"/>
        <s v="BRW_17"/>
        <s v="BRW_18"/>
        <s v="BRW_19"/>
        <s v="BRW_20"/>
        <s v="BRW_21"/>
        <s v="BRW_22"/>
        <s v="BRW_23"/>
        <s v="BRW_24"/>
        <s v="BRW_25"/>
        <s v="BRW_26"/>
        <s v="BRW_27"/>
        <s v="BRW_28"/>
        <s v="BRW_29"/>
        <s v="BRW_30"/>
        <s v="BRW_31"/>
        <s v="BRW_32"/>
        <s v="BRW_33"/>
        <s v="BRW_34"/>
        <s v="BRW_35"/>
        <s v="BRW_36"/>
        <s v="BRW_37"/>
        <s v="BRW_38"/>
        <s v="BRW_39"/>
        <s v="BRW_40"/>
        <s v="BRW_41"/>
        <s v="BRW_42"/>
        <s v="BRW_43"/>
        <s v="BRW_44"/>
        <s v="BRW_45"/>
        <s v="BRW_46"/>
        <s v="BRW_47"/>
        <s v="BRW_48"/>
        <s v="BRW_49"/>
        <s v="BRW_50"/>
        <s v="BRW_51"/>
        <s v="BRW_52"/>
        <s v="BRW_53"/>
        <s v="BRW_54"/>
        <s v="BRW_55"/>
        <s v="BRW_56"/>
        <s v="BRW_57"/>
        <s v="BRW_58"/>
        <s v="BRW_59"/>
        <s v="BRW_60"/>
        <s v="BRW_61"/>
        <s v="BRW_62"/>
        <s v="BRW_63"/>
        <s v="BRW_64"/>
        <s v="BRW_65"/>
        <s v="BRW_66"/>
        <s v="BRW_67"/>
        <s v="BRW_68"/>
        <s v="BRW_69"/>
        <s v="BRW_70"/>
        <s v="BRW_71"/>
        <s v="BRW_72"/>
        <s v="BRW_73"/>
        <s v="BRW_74"/>
        <s v="BRW_75"/>
        <s v="BRW_76"/>
        <s v="BRW_77"/>
        <s v="BRW_78"/>
        <s v="BRW_79"/>
        <s v="BRW_80"/>
        <s v="BRW_81"/>
        <s v="BRW_82"/>
        <s v="BRW_83"/>
        <s v="BRW_84"/>
        <s v="BRW_85"/>
        <s v="BRW_86"/>
        <s v="BRW_87"/>
        <s v="BRW_88"/>
        <s v="BRW_89"/>
        <s v="BRW_90"/>
        <s v="BRW_91"/>
        <s v="BRW_92"/>
        <s v="BRW_93"/>
        <s v="BRW_94"/>
        <s v="BRW_95"/>
        <s v="BRW_96"/>
        <s v="BRW_97"/>
        <s v="BRW_98"/>
        <s v="BRW_99"/>
        <s v="BRW_100"/>
        <s v="BRW_101"/>
        <s v="BRW_102"/>
        <s v="BRW_103"/>
        <s v="BRW_104"/>
        <s v="BRW_105"/>
        <s v="BRW_106"/>
        <s v="BRW_107"/>
        <s v="BRW_108"/>
        <s v="BRW_109"/>
        <s v="BRW_110"/>
        <s v="BRW_111"/>
        <s v="BRW_112"/>
        <s v="BRW_113"/>
        <s v="BRW_114"/>
        <s v="BRW_115"/>
        <s v="BRW_116"/>
        <s v="BRW_117"/>
        <s v="BRW_118"/>
        <s v="BRW_119"/>
        <s v="BRW_120"/>
        <s v="BRW_121"/>
        <s v="BRW_122"/>
        <s v="BRW_123"/>
        <s v="BRW_124"/>
        <s v="BRW_125"/>
        <s v="BRW_126"/>
        <s v="BRW_127"/>
        <s v="BRW_128"/>
        <s v="BRW_129"/>
        <s v="BRW_130"/>
        <s v="BRW_131"/>
        <s v="BRW_132"/>
        <s v="BRW_133"/>
        <s v="BRW_134"/>
        <s v="BRW_135"/>
        <s v="BRW_136"/>
        <s v="BRW_137"/>
        <s v="BRW_138"/>
        <s v="BRW_139"/>
        <s v="BRW_140"/>
        <s v="BRW_141"/>
        <s v="BRW_142"/>
        <s v="BRW_143"/>
        <s v="BRW_144"/>
        <s v="BRW_145"/>
        <s v="BRW_146"/>
        <s v="BRW_147"/>
        <s v="BRW_148"/>
        <s v="BRW_149"/>
        <s v="BRW_150"/>
        <s v="BRW_151"/>
        <s v="BRW_152"/>
        <s v="BRW_153"/>
        <s v="BRW_154"/>
        <s v="BRW_155"/>
        <s v="BRW_156"/>
        <s v="BRW_157"/>
        <s v="BRW_158"/>
        <s v="BRW_159"/>
        <s v="BRW_160"/>
        <s v="BRW_161"/>
        <s v="BRW_162"/>
        <s v="BRW_163"/>
        <s v="BRW_164"/>
        <s v="BRW_165"/>
        <s v="BRW_166"/>
        <s v="BRW_167"/>
        <s v="BRW_168"/>
        <s v="BRW_169"/>
        <s v="BRW_170"/>
        <s v="BRW_171"/>
        <s v="BRW_172"/>
        <s v="BRW_173"/>
        <s v="BRW_174"/>
        <s v="BRW_175"/>
        <s v="BRW_176"/>
        <s v="BRW_177"/>
        <s v="BRW_178"/>
        <s v="BRW_179"/>
        <s v="BRW_180"/>
        <s v="BRW_181"/>
        <s v="BRW_182"/>
        <s v="BRW_183"/>
        <s v="BRW_184"/>
        <s v="BRW_185"/>
        <s v="BRW_186"/>
        <s v="BRW_187"/>
        <s v="BRW_188"/>
        <s v="BRW_189"/>
        <s v="BRW_190"/>
        <s v="BRW_191"/>
        <s v="BRW_192"/>
        <s v="BRW_193"/>
        <s v="BRW_194"/>
        <s v="BRW_195"/>
        <s v="BRW_196"/>
        <s v="BRW_197"/>
        <s v="BRW_198"/>
        <s v="BRW_199"/>
        <s v="BRW_200"/>
        <s v="BRW_201"/>
        <s v="BRW_202"/>
        <s v="BRW_203"/>
        <s v="BRW_204"/>
        <s v="BRW_205"/>
        <s v="BRW_206"/>
        <s v="BRW_207"/>
        <s v="BRW_208"/>
        <s v="BRW_209"/>
        <s v="BRW_210"/>
        <s v="BRW_211"/>
        <s v="BRW_212"/>
        <s v="BRW_213"/>
        <s v="BRW_214"/>
        <s v="BRW_215"/>
        <s v="BRW_216"/>
        <s v="BRW_217"/>
        <s v="BRW_218"/>
        <s v="BRW_219"/>
        <s v="BRW_220"/>
        <s v="BRW_221"/>
        <s v="BRW_222"/>
        <s v="BRW_223"/>
        <s v="BRW_224"/>
        <s v="BRW_225"/>
        <s v="BRW_226"/>
        <s v="BRW_227"/>
        <s v="BRW_228"/>
        <s v="BRW_229"/>
        <s v="BRW_230"/>
        <s v="BRW_231"/>
        <s v="BRW_232"/>
        <s v="BRW_233"/>
        <s v="BRW_234"/>
        <s v="BRW_235"/>
        <s v="BRW_236"/>
        <s v="BRW_237"/>
        <s v="BRW_238"/>
        <s v="BRW_239"/>
        <s v="BRW_240"/>
        <s v="BRW_241"/>
        <s v="BRW_242"/>
        <s v="BRW_243"/>
        <s v="BRW_244"/>
        <s v="BRW_245"/>
        <s v="BRW_246"/>
        <s v="BRW_247"/>
        <s v="BRW_248"/>
        <s v="BRW_249"/>
        <s v="BRW_250"/>
        <s v="BRW_251"/>
        <s v="BRW_252"/>
        <s v="BRW_253"/>
        <s v="BRW_254"/>
        <s v="BRW_255"/>
        <s v="BRW_256"/>
        <s v="BRW_257"/>
        <s v="BRW_258"/>
        <s v="BRW_259"/>
        <s v="BRW_260"/>
        <s v="BRW_261"/>
        <s v="BRW_262"/>
        <s v="BRW_263"/>
        <s v="BRW_264"/>
        <s v="BRW_265"/>
        <s v="BRW_266"/>
        <s v="BRW_267"/>
        <s v="BRW_268"/>
        <s v="BRW_269"/>
        <s v="BRW_270"/>
        <s v="BRW_271"/>
        <s v="BRW_272"/>
        <s v="BRW_273"/>
        <s v="BRW_274"/>
        <s v="BRW_275"/>
        <s v="BRW_276"/>
        <s v="BRW_277"/>
        <s v="BRW_278"/>
        <s v="BRW_279"/>
        <s v="BRW_280"/>
        <s v="BRW_281"/>
        <s v="BRW_282"/>
        <s v="BRW_283"/>
        <s v="BRW_284"/>
        <s v="BRW_285"/>
        <s v="BRW_286"/>
        <s v="BRW_287"/>
        <s v="BRW_288"/>
        <s v="BRW_289"/>
        <s v="BRW_290"/>
        <s v="BRW_291"/>
        <s v="BRW_292"/>
        <s v="BRW_293"/>
        <s v="BRW_294"/>
        <s v="BRW_295"/>
        <s v="BRW_296"/>
        <s v="BRW_297"/>
        <s v="BRW_298"/>
        <s v="BRW_299"/>
        <s v="BRW_300"/>
        <s v="BRW_301"/>
        <s v="BRW_302"/>
        <s v="BRW_303"/>
        <s v="BRW_304"/>
        <s v="BRW_305"/>
        <s v="BRW_306"/>
        <s v="BRW_307"/>
        <s v="BRW_308"/>
        <s v="BRW_309"/>
        <s v="BRW_310"/>
        <s v="BRW_311"/>
        <s v="BRW_312"/>
        <s v="BRW_313"/>
        <s v="BRW_314"/>
        <s v="BRW_315"/>
        <s v="BRW_316"/>
        <s v="BRW_317"/>
        <s v="BRW_318"/>
        <s v="BRW_319"/>
        <s v="BRW_320"/>
        <s v="BRW_321"/>
        <s v="BRW_322"/>
        <s v="BRW_323"/>
        <s v="BRW_324"/>
        <s v="BRW_325"/>
        <s v="BRW_326"/>
        <s v="BRW_327"/>
        <s v="BRW_328"/>
        <s v="BRW_329"/>
        <s v="BRW_330"/>
        <s v="BRW_331"/>
        <s v="BRW_332"/>
        <s v="BRW_333"/>
        <s v="BRW_334"/>
        <s v="BRW_335"/>
        <s v="BRW_336"/>
        <s v="BRW_337"/>
        <s v="BRW_338"/>
        <s v="BRW_339"/>
        <s v="BRW_340"/>
        <s v="BRW_341"/>
        <s v="BRW_342"/>
        <s v="BRW_343"/>
        <s v="BRW_344"/>
        <s v="BRW_345"/>
        <s v="BRW_346"/>
        <s v="BRW_347"/>
        <s v="BRW_348"/>
        <s v="BRW_349"/>
        <s v="BRW_350"/>
        <s v="BRW_351"/>
        <s v="BRW_352"/>
        <s v="BRW_353"/>
        <s v="BRW_354"/>
        <s v="BRW_355"/>
        <s v="BRW_356"/>
        <s v="BRW_357"/>
        <s v="BRW_358"/>
        <s v="BRW_359"/>
        <s v="BRW_360"/>
        <s v="BRW_361"/>
        <s v="BRW_362"/>
        <s v="BRW_363"/>
        <s v="BRW_364"/>
        <s v="BRW_365"/>
        <s v="BRW_366"/>
        <s v="BRW_367"/>
        <s v="BRW_368"/>
        <s v="BRW_369"/>
        <s v="BRW_370"/>
        <s v="BRW_371"/>
        <s v="BRW_372"/>
        <s v="BRW_373"/>
        <s v="BRW_374"/>
        <s v="BRW_375"/>
        <s v="BRW_376"/>
        <s v="BRW_377"/>
        <s v="BRW_378"/>
        <s v="BRW_379"/>
        <s v="BRW_380"/>
        <s v="BRW_381"/>
        <s v="BRW_382"/>
        <s v="BRW_383"/>
        <s v="BRW_384"/>
        <s v="BRW_385"/>
        <s v="BRW_386"/>
        <s v="BRW_387"/>
        <s v="BRW_388"/>
        <s v="BRW_389"/>
        <s v="BRW_390"/>
        <s v="BRW_391"/>
        <s v="BRW_392"/>
        <s v="BRW_393"/>
        <s v="BRW_394"/>
        <s v="BRW_395"/>
        <s v="BRW_396"/>
        <s v="BRW_397"/>
        <s v="BRW_398"/>
        <s v="BRW_399"/>
        <s v="BRW_400"/>
        <s v="BRW_401"/>
        <s v="BRW_402"/>
        <s v="BRW_403"/>
        <s v="BRW_404"/>
        <s v="BRW_405"/>
        <s v="BRW_406"/>
        <s v="BRW_407"/>
        <s v="BRW_408"/>
        <s v="BRW_409"/>
        <s v="BRW_410"/>
        <s v="BRW_411"/>
        <s v="BRW_412"/>
        <s v="BRW_413"/>
        <s v="BRW_414"/>
        <s v="BRW_415"/>
        <s v="BRW_416"/>
        <s v="BRW_417"/>
        <s v="BRW_418"/>
        <s v="BRW_419"/>
        <s v="BRW_420"/>
        <s v="BRW_421"/>
        <s v="BRW_422"/>
        <s v="BRW_423"/>
        <s v="BRW_424"/>
        <s v="BRW_425"/>
        <s v="BRW_426"/>
        <s v="BRW_427"/>
        <s v="BRW_428"/>
        <s v="BRW_429"/>
        <s v="BRW_430"/>
        <s v="BRW_431"/>
        <s v="BRW_432"/>
        <s v="BRW_433"/>
        <s v="BRW_434"/>
        <s v="BRW_435"/>
        <s v="BRW_436"/>
        <s v="BRW_437"/>
        <s v="BRW_438"/>
        <s v="BRW_439"/>
        <s v="BRW_440"/>
        <s v="BRW_441"/>
        <s v="BRW_442"/>
        <s v="BRW_443"/>
        <s v="BRW_444"/>
        <s v="BRW_445"/>
        <s v="BRW_446"/>
        <s v="BRW_447"/>
        <s v="BRW_448"/>
        <s v="BRW_449"/>
        <s v="BRW_450"/>
        <s v="BRW_451"/>
        <s v="BRW_452"/>
        <s v="BRW_453"/>
        <s v="BRW_454"/>
        <s v="BRW_455"/>
        <s v="BRW_456"/>
        <s v="BRW_457"/>
        <s v="BRW_458"/>
        <s v="BRW_459"/>
        <s v="BRW_460"/>
        <s v="BRW_461"/>
        <s v="BRW_462"/>
        <s v="BRW_463"/>
        <s v="BRW_464"/>
        <s v="BRW_465"/>
        <s v="BRW_466"/>
        <s v="BRW_467"/>
        <s v="BRW_468"/>
        <s v="BRW_469"/>
        <s v="BRW_470"/>
        <s v="BRW_471"/>
        <s v="BRW_472"/>
        <s v="BRW_473"/>
        <s v="BRW_474"/>
        <s v="BRW_475"/>
        <s v="BRW_476"/>
        <s v="BRW_477"/>
        <s v="BRW_478"/>
        <s v="BRW_479"/>
        <s v="BRW_480"/>
        <s v="BRW_481"/>
        <s v="BRW_482"/>
        <s v="BRW_483"/>
        <s v="BRW_484"/>
        <s v="BRW_485"/>
        <s v="BRW_486"/>
        <s v="BRW_487"/>
        <s v="BRW_488"/>
        <s v="BRW_489"/>
        <s v="BRW_490"/>
        <s v="BRW_491"/>
        <s v="BRW_492"/>
        <s v="BRW_493"/>
        <s v="BRW_494"/>
        <s v="BRW_495"/>
        <s v="BRW_496"/>
        <s v="BRW_497"/>
        <s v="BRW_498"/>
        <s v="BRW_499"/>
        <s v="BRW_500"/>
      </sharedItems>
    </cacheField>
    <cacheField name="Age" numFmtId="0">
      <sharedItems containsSemiMixedTypes="0" containsString="0" containsNumber="1" containsInteger="1" minValue="21" maxValue="64" count="44">
        <n v="59"/>
        <n v="49"/>
        <n v="35"/>
        <n v="63"/>
        <n v="28"/>
        <n v="41"/>
        <n v="39"/>
        <n v="43"/>
        <n v="31"/>
        <n v="44"/>
        <n v="56"/>
        <n v="60"/>
        <n v="23"/>
        <n v="42"/>
        <n v="22"/>
        <n v="64"/>
        <n v="50"/>
        <n v="58"/>
        <n v="53"/>
        <n v="32"/>
        <n v="45"/>
        <n v="47"/>
        <n v="62"/>
        <n v="48"/>
        <n v="36"/>
        <n v="57"/>
        <n v="27"/>
        <n v="29"/>
        <n v="38"/>
        <n v="24"/>
        <n v="34"/>
        <n v="46"/>
        <n v="40"/>
        <n v="55"/>
        <n v="37"/>
        <n v="26"/>
        <n v="54"/>
        <n v="30"/>
        <n v="51"/>
        <n v="61"/>
        <n v="21"/>
        <n v="25"/>
        <n v="33"/>
        <n v="52"/>
      </sharedItems>
      <fieldGroup base="1">
        <rangePr startNum="21" endNum="64" groupInterval="10"/>
        <groupItems count="7">
          <s v="&lt;21"/>
          <s v="21-30"/>
          <s v="31-40"/>
          <s v="41-50"/>
          <s v="51-60"/>
          <s v="61-70"/>
          <s v="&gt;71"/>
        </groupItems>
      </fieldGroup>
    </cacheField>
    <cacheField name="Gender" numFmtId="0">
      <sharedItems count="2">
        <s v="Male"/>
        <s v="Female"/>
      </sharedItems>
    </cacheField>
    <cacheField name="Employment_Type" numFmtId="0">
      <sharedItems count="3">
        <s v="Salaried"/>
        <s v="Self-Employed"/>
        <s v="Business Owner"/>
      </sharedItems>
    </cacheField>
    <cacheField name="Monthly_Income" numFmtId="0">
      <sharedItems containsSemiMixedTypes="0" containsString="0" containsNumber="1" containsInteger="1" minValue="15207" maxValue="249746"/>
    </cacheField>
    <cacheField name="Num_Dependents" numFmtId="0">
      <sharedItems containsSemiMixedTypes="0" containsString="0" containsNumber="1" containsInteger="1" minValue="0" maxValue="3"/>
    </cacheField>
    <cacheField name="Loan_ID" numFmtId="0">
      <sharedItems/>
    </cacheField>
    <cacheField name="Loan_Amount" numFmtId="0">
      <sharedItems containsSemiMixedTypes="0" containsString="0" containsNumber="1" containsInteger="1" minValue="54138" maxValue="1995325"/>
    </cacheField>
    <cacheField name="Loan_Tenure" numFmtId="0">
      <sharedItems containsSemiMixedTypes="0" containsString="0" containsNumber="1" containsInteger="1" minValue="12" maxValue="72" count="6">
        <n v="60"/>
        <n v="12"/>
        <n v="72"/>
        <n v="36"/>
        <n v="48"/>
        <n v="24"/>
      </sharedItems>
    </cacheField>
    <cacheField name="Interest_Rate" numFmtId="0">
      <sharedItems containsSemiMixedTypes="0" containsString="0" containsNumber="1" minValue="5.0199999999999996" maxValue="17.97"/>
    </cacheField>
    <cacheField name="Loan_Type" numFmtId="0">
      <sharedItems count="4">
        <s v="Home"/>
        <s v="Auto"/>
        <s v="Personal"/>
        <s v="Business"/>
      </sharedItems>
    </cacheField>
    <cacheField name="Collateral_Value" numFmtId="0">
      <sharedItems containsSemiMixedTypes="0" containsString="0" containsNumber="1" minValue="0" maxValue="2744395.1400890099"/>
    </cacheField>
    <cacheField name="Outstanding_Loan_Amount" numFmtId="0">
      <sharedItems containsSemiMixedTypes="0" containsString="0" containsNumber="1" minValue="15712.8343606788" maxValue="1932395.9202671801" count="500">
        <n v="291413.005791598"/>
        <n v="665204.15391295101"/>
        <n v="1031371.99739342"/>
        <n v="224973.921257009"/>
        <n v="39189.892007881899"/>
        <n v="129965.525042383"/>
        <n v="875490.42327256605"/>
        <n v="416121.38085230102"/>
        <n v="168733.801500595"/>
        <n v="133190.65476845601"/>
        <n v="292208.24821751303"/>
        <n v="1207474.9788615401"/>
        <n v="1152937.2333349499"/>
        <n v="62675.682610001997"/>
        <n v="638903.237117243"/>
        <n v="1287474.5606714799"/>
        <n v="703320.02115591103"/>
        <n v="608360.756499746"/>
        <n v="176912.428353803"/>
        <n v="137808.14180541501"/>
        <n v="377449.77249214402"/>
        <n v="96882.950529263806"/>
        <n v="214915.51810538801"/>
        <n v="161329.38960644099"/>
        <n v="757142.080668226"/>
        <n v="1436350.59908076"/>
        <n v="1561797.4177508"/>
        <n v="1059348.9394270401"/>
        <n v="1155408.5731498401"/>
        <n v="1297293.6819442499"/>
        <n v="127493.131341755"/>
        <n v="156648.603274158"/>
        <n v="177563.50775108699"/>
        <n v="156364.780764853"/>
        <n v="670752.52403382899"/>
        <n v="395791.53907851601"/>
        <n v="243672.66006101901"/>
        <n v="517458.95241211401"/>
        <n v="889936.53132869594"/>
        <n v="336146.12167272199"/>
        <n v="446444.44867214002"/>
        <n v="850926.61138245498"/>
        <n v="920061.92216764996"/>
        <n v="515038.18647953402"/>
        <n v="279074.25563629903"/>
        <n v="319736.83339676802"/>
        <n v="628650.57753690297"/>
        <n v="536036.78249080596"/>
        <n v="507429.13312076102"/>
        <n v="1342401.1432290899"/>
        <n v="98091.7464647499"/>
        <n v="1003220.89679716"/>
        <n v="270256.36345548002"/>
        <n v="82673.808410009398"/>
        <n v="42612.468206110301"/>
        <n v="1074385.8563236401"/>
        <n v="1440657.0647680401"/>
        <n v="736511.15442293696"/>
        <n v="1241198.1825691999"/>
        <n v="742843.39259752806"/>
        <n v="1101165.3005931601"/>
        <n v="129620.219945224"/>
        <n v="102084.546529454"/>
        <n v="711068.13307049801"/>
        <n v="52577.279301693103"/>
        <n v="153026.95811349701"/>
        <n v="281352.59741980903"/>
        <n v="814388.79084208701"/>
        <n v="124668.84619877"/>
        <n v="920342.97126484301"/>
        <n v="1138870.72200153"/>
        <n v="217488.34169348699"/>
        <n v="240573.141087948"/>
        <n v="381265.67722954502"/>
        <n v="1403817.72880089"/>
        <n v="100554.244832881"/>
        <n v="398402.26270037697"/>
        <n v="809930.73179129104"/>
        <n v="279213.67253875203"/>
        <n v="96824.949443816804"/>
        <n v="1480156.1607327"/>
        <n v="309070.29557791102"/>
        <n v="232572.508817266"/>
        <n v="891816.16382929299"/>
        <n v="196656.97349117001"/>
        <n v="525143.54247129103"/>
        <n v="315879.61558162898"/>
        <n v="162855.75278523"/>
        <n v="422760.71191119001"/>
        <n v="483715.68685074599"/>
        <n v="1529224.9476769499"/>
        <n v="131426.54561607301"/>
        <n v="474944.42243375099"/>
        <n v="50073.186254019602"/>
        <n v="412834.439480011"/>
        <n v="444004.58948720898"/>
        <n v="71521.677722503402"/>
        <n v="394388.86046208697"/>
        <n v="99251.5916979537"/>
        <n v="163346.39398871799"/>
        <n v="319734.981097357"/>
        <n v="33981.922514813297"/>
        <n v="259855.638856481"/>
        <n v="234933.91626468999"/>
        <n v="1015520.84522419"/>
        <n v="1222984.86108699"/>
        <n v="291631.564746583"/>
        <n v="589292.15208749601"/>
        <n v="53007.786988511201"/>
        <n v="279236.25489460002"/>
        <n v="955922.91998454498"/>
        <n v="56895.369774737002"/>
        <n v="70542.372546208702"/>
        <n v="244140.659381712"/>
        <n v="578626.21352177905"/>
        <n v="100394.59384215101"/>
        <n v="680411.848349498"/>
        <n v="665429.67504687898"/>
        <n v="1007990.87047716"/>
        <n v="490032.65289369802"/>
        <n v="1235248.9158491599"/>
        <n v="437200.70935040503"/>
        <n v="723845.48179025599"/>
        <n v="85488.4950991675"/>
        <n v="284577.53769623302"/>
        <n v="195673.264210586"/>
        <n v="52957.6155352274"/>
        <n v="730341.39554682095"/>
        <n v="798983.0588772"/>
        <n v="425034.026272799"/>
        <n v="790915.27302561002"/>
        <n v="606744.21559729299"/>
        <n v="234794.08783136"/>
        <n v="787026.48570632294"/>
        <n v="382228.02656570502"/>
        <n v="225250.91763173201"/>
        <n v="171413.17841170999"/>
        <n v="204588.69631514701"/>
        <n v="426709.65690667799"/>
        <n v="1155829.78595858"/>
        <n v="1534190.72316752"/>
        <n v="729545.27810867305"/>
        <n v="746005.80291578895"/>
        <n v="363541.36324267398"/>
        <n v="963989.88332185301"/>
        <n v="1337482.34648733"/>
        <n v="450011.031032058"/>
        <n v="135521.90123157401"/>
        <n v="423464.591428974"/>
        <n v="796901.93704916094"/>
        <n v="174851.17140651401"/>
        <n v="801528.03733361303"/>
        <n v="123821.094126002"/>
        <n v="428739.232057388"/>
        <n v="1405426.0267775101"/>
        <n v="1374050.8848191099"/>
        <n v="113231.052503589"/>
        <n v="251171.542546093"/>
        <n v="84786.735948924295"/>
        <n v="441059.80809712101"/>
        <n v="183162.48037496"/>
        <n v="83683.361482357897"/>
        <n v="15712.8343606788"/>
        <n v="169628.33965960299"/>
        <n v="844803.61114044604"/>
        <n v="17239.977364942799"/>
        <n v="237664.24667176901"/>
        <n v="103122.800647711"/>
        <n v="392437.36387115001"/>
        <n v="248037.739684336"/>
        <n v="309283.21787967201"/>
        <n v="1247525.5701565"/>
        <n v="983707.75808864704"/>
        <n v="350017.45835900097"/>
        <n v="802700.77705918904"/>
        <n v="1265836.32265874"/>
        <n v="234737.872955981"/>
        <n v="211469.31602121599"/>
        <n v="881515.328728099"/>
        <n v="756550.09260640806"/>
        <n v="404570.45655016199"/>
        <n v="50698.238510564901"/>
        <n v="1334283.2077804899"/>
        <n v="148903.25176663799"/>
        <n v="289926.49878580199"/>
        <n v="117102.384441767"/>
        <n v="80545.997021894"/>
        <n v="473802.63261636201"/>
        <n v="48916.546406430403"/>
        <n v="712074.30029618496"/>
        <n v="170025.314242514"/>
        <n v="477614.42216441"/>
        <n v="1315302.2127769"/>
        <n v="153288.57828919601"/>
        <n v="594722.18969136104"/>
        <n v="822335.81162992003"/>
        <n v="68321.264542402801"/>
        <n v="453140.48138629203"/>
        <n v="58978.588330939303"/>
        <n v="227327.95486678599"/>
        <n v="326675.76780241099"/>
        <n v="1700987.9125284101"/>
        <n v="272210.54719980701"/>
        <n v="611574.34871379298"/>
        <n v="345456.28441906901"/>
        <n v="1470464.1261789401"/>
        <n v="375704.148265097"/>
        <n v="1794126.9642652001"/>
        <n v="604778.22011832602"/>
        <n v="1886639.98561631"/>
        <n v="1229562.6889778301"/>
        <n v="1413229.71986812"/>
        <n v="174161.44616537201"/>
        <n v="57594.482274718503"/>
        <n v="243246.64249131599"/>
        <n v="230598.41551559299"/>
        <n v="117965.257074867"/>
        <n v="247997.90094644899"/>
        <n v="198635.32589490601"/>
        <n v="1319715.73782741"/>
        <n v="773648.58507984201"/>
        <n v="220312.11226624201"/>
        <n v="1584600.20154235"/>
        <n v="143093.05512341799"/>
        <n v="996111.72062673699"/>
        <n v="92939.645245520194"/>
        <n v="1108570.9088099001"/>
        <n v="113057.520135044"/>
        <n v="67579.7497917367"/>
        <n v="200807.89037759299"/>
        <n v="569849.93863371597"/>
        <n v="1045269.95540203"/>
        <n v="1559717.06307321"/>
        <n v="822662.32030195603"/>
        <n v="221929.34078486299"/>
        <n v="350897.97236518899"/>
        <n v="214012.40022298199"/>
        <n v="830616.63638005196"/>
        <n v="215746.16950611901"/>
        <n v="79159.206748411496"/>
        <n v="729559.34237746405"/>
        <n v="420501.27960635797"/>
        <n v="264662.17393444799"/>
        <n v="58940.241355443803"/>
        <n v="905052.08216628002"/>
        <n v="395644.95579606103"/>
        <n v="947590.96147559001"/>
        <n v="301110.46293610201"/>
        <n v="1389518.1065142101"/>
        <n v="1529768.34372039"/>
        <n v="413442.00655276398"/>
        <n v="1114373.42242559"/>
        <n v="521981.03081876901"/>
        <n v="937450.182085454"/>
        <n v="428509.03851359402"/>
        <n v="154104.47884843199"/>
        <n v="442088.68566392601"/>
        <n v="198910.451335939"/>
        <n v="102299.770086706"/>
        <n v="351731.78923366999"/>
        <n v="309534.99948210001"/>
        <n v="262208.33198839898"/>
        <n v="1278685.0538306499"/>
        <n v="302326.52028276102"/>
        <n v="1498294.29012237"/>
        <n v="1138280.1853296401"/>
        <n v="78279.940181335594"/>
        <n v="1023876.74457077"/>
        <n v="141876.09567415799"/>
        <n v="693903.41164312104"/>
        <n v="466931.56525247998"/>
        <n v="114062.720957693"/>
        <n v="503303.41802593"/>
        <n v="665582.83482174994"/>
        <n v="568179.82277962205"/>
        <n v="973084.74647750496"/>
        <n v="246183.09996329501"/>
        <n v="1501065.62381099"/>
        <n v="503983.51910635602"/>
        <n v="938200.92469862604"/>
        <n v="690403.12248968205"/>
        <n v="62971.591491604697"/>
        <n v="468696.22822044202"/>
        <n v="692636.49122590804"/>
        <n v="143707.31208417"/>
        <n v="420333.37467513798"/>
        <n v="1037038.92839854"/>
        <n v="90034.979666655199"/>
        <n v="773867.784267326"/>
        <n v="287643.01778093801"/>
        <n v="509210.49795606598"/>
        <n v="1397196.42017471"/>
        <n v="603346.431698762"/>
        <n v="967132.03848988505"/>
        <n v="62180.918456546598"/>
        <n v="204909.547031408"/>
        <n v="165543.02011667201"/>
        <n v="85220.407420577496"/>
        <n v="234888.46022943099"/>
        <n v="1595668.0818718199"/>
        <n v="483868.83237756201"/>
        <n v="116492.978044831"/>
        <n v="16273.871478987799"/>
        <n v="85477.881453182694"/>
        <n v="125797.179188435"/>
        <n v="762418.94074065494"/>
        <n v="629248.77983763302"/>
        <n v="1676644.9357533499"/>
        <n v="1114690.57598277"/>
        <n v="1259501.3534965999"/>
        <n v="405643.83957899699"/>
        <n v="132957.197280475"/>
        <n v="1448461.5063034999"/>
        <n v="1726793.6514860699"/>
        <n v="248884.68581297001"/>
        <n v="102018.62206286901"/>
        <n v="74861.227417375907"/>
        <n v="363235.43256132299"/>
        <n v="1246469.3203586801"/>
        <n v="155416.091666183"/>
        <n v="428391.42225023202"/>
        <n v="368351.62265413802"/>
        <n v="19785.390216420299"/>
        <n v="946133.97400358203"/>
        <n v="293616.11428962997"/>
        <n v="802661.76264117996"/>
        <n v="179341.36007024199"/>
        <n v="659843.28314293094"/>
        <n v="338323.59551464801"/>
        <n v="1733617.91459065"/>
        <n v="703487.08528785896"/>
        <n v="622029.65851184505"/>
        <n v="51917.013564268404"/>
        <n v="128409.11007271901"/>
        <n v="36903.5392417209"/>
        <n v="325165.33898892702"/>
        <n v="246148.871019963"/>
        <n v="613551.29052392405"/>
        <n v="1005392.95062193"/>
        <n v="113511.704192253"/>
        <n v="196895.742999182"/>
        <n v="139725.254576287"/>
        <n v="303243.056845574"/>
        <n v="851148.687346344"/>
        <n v="1592190.5785556301"/>
        <n v="1932395.9202671801"/>
        <n v="478879.54019045102"/>
        <n v="73908.647998340806"/>
        <n v="634134.29254345701"/>
        <n v="1372451.3089907099"/>
        <n v="814282.58292486705"/>
        <n v="1716129.7838127499"/>
        <n v="227188.62829278901"/>
        <n v="1323596.49127984"/>
        <n v="45015.925015167901"/>
        <n v="1116947.3889834799"/>
        <n v="1635694.5605492599"/>
        <n v="533824.21144944301"/>
        <n v="750748.11653428397"/>
        <n v="71912.130597487601"/>
        <n v="1294342.87601373"/>
        <n v="1475467.2832253701"/>
        <n v="877296.20520587801"/>
        <n v="486651.66014719498"/>
        <n v="396759.25140034198"/>
        <n v="349636.14556790498"/>
        <n v="47673.169024362702"/>
        <n v="40982.549858288097"/>
        <n v="502050.70062440098"/>
        <n v="226290.322217134"/>
        <n v="140271.90293332099"/>
        <n v="172617.21573236099"/>
        <n v="1603794.5350392601"/>
        <n v="213155.210997799"/>
        <n v="627915.16785309406"/>
        <n v="123180.98431196201"/>
        <n v="31208.395946131601"/>
        <n v="71370.194677960593"/>
        <n v="789211.47874301102"/>
        <n v="1290896.4383739999"/>
        <n v="1622079.8258217501"/>
        <n v="260823.57531014099"/>
        <n v="576284.75176152703"/>
        <n v="950860.37010074197"/>
        <n v="104416.1336972"/>
        <n v="217827.04586785001"/>
        <n v="104401.256265566"/>
        <n v="773594.03191174997"/>
        <n v="39600.812049800203"/>
        <n v="156586.54488683899"/>
        <n v="47548.980089374701"/>
        <n v="1438059.97848057"/>
        <n v="1880951.1599827099"/>
        <n v="434600.551456641"/>
        <n v="92165.853669172298"/>
        <n v="239745.19189995999"/>
        <n v="275806.117595435"/>
        <n v="29491.8334239285"/>
        <n v="57630.586576627204"/>
        <n v="392256.20087759302"/>
        <n v="93217.143461624903"/>
        <n v="488977.03741946502"/>
        <n v="32142.5811960219"/>
        <n v="195746.07636491099"/>
        <n v="163957.393977625"/>
        <n v="1248200.80993899"/>
        <n v="228224.11528775599"/>
        <n v="1297457.01548273"/>
        <n v="376652.47537140001"/>
        <n v="54636.485395017102"/>
        <n v="1246544.9279456099"/>
        <n v="86650.598542888605"/>
        <n v="133342.79456584499"/>
        <n v="53266.847536122303"/>
        <n v="758611.25702651998"/>
        <n v="525086.21117546805"/>
        <n v="1540842.9742347"/>
        <n v="236201.138634556"/>
        <n v="1157027.9404329101"/>
        <n v="536251.59781083697"/>
        <n v="369679.091893045"/>
        <n v="330550.01941381599"/>
        <n v="30346.855830782501"/>
        <n v="299378.888345821"/>
        <n v="417144.96095882403"/>
        <n v="420551.23149069102"/>
        <n v="1529736.2831065201"/>
        <n v="189941.88037991599"/>
        <n v="386853.45258339902"/>
        <n v="918622.56884355599"/>
        <n v="1744823.30549206"/>
        <n v="407164.05956757301"/>
        <n v="498431.56769534899"/>
        <n v="1355583.5642285"/>
        <n v="1372523.2456050401"/>
        <n v="887038.61471128603"/>
        <n v="329600.12358639401"/>
        <n v="417774.868794357"/>
        <n v="737589.93170597102"/>
        <n v="819030.82806456101"/>
        <n v="198742.20195528801"/>
        <n v="1033088.81542798"/>
        <n v="509862.68469835998"/>
        <n v="841730.25339987502"/>
        <n v="838064.88308174396"/>
        <n v="1445925.51720602"/>
        <n v="266265.48944440403"/>
        <n v="1418352.5630435201"/>
        <n v="441147.74857891299"/>
        <n v="191480.92192342901"/>
        <n v="539254.74576874205"/>
        <n v="363917.688062987"/>
        <n v="470241.14400438202"/>
        <n v="216178.49564340001"/>
        <n v="1109180.5186606101"/>
        <n v="51376.531383885696"/>
        <n v="1512873.94477221"/>
        <n v="29410.095523278698"/>
        <n v="375865.47034157399"/>
        <n v="1279533.9920697201"/>
        <n v="201172.05633595301"/>
        <n v="282199.62881227402"/>
        <n v="541900.377300077"/>
        <n v="1516591.5263618301"/>
        <n v="1045256.14266127"/>
        <n v="803785.07050668902"/>
        <n v="1389529.7509124"/>
        <n v="402043.41090908402"/>
        <n v="183878.089154986"/>
        <n v="131427.70314929201"/>
        <n v="568455.05874399701"/>
        <n v="902911.40356932499"/>
        <n v="167474.729156563"/>
        <n v="186670.796865802"/>
        <n v="1800582.9200933799"/>
        <n v="433475.76209943101"/>
        <n v="572145.90655515401"/>
        <n v="250017.84830003401"/>
        <n v="52716.295981092801"/>
        <n v="559027.20333800896"/>
        <n v="650931.52539835195"/>
        <n v="395327.53880157199"/>
        <n v="641044.91984841798"/>
        <n v="288413.65697520302"/>
        <n v="52790.384286280401"/>
        <n v="730981.45707044902"/>
        <n v="413205.92622044502"/>
        <n v="269668.12969607802"/>
        <n v="1533515.2463005299"/>
        <n v="86465.857680180896"/>
        <n v="511595.02484883898"/>
        <n v="249011.61503351899"/>
        <n v="694748.47205278801"/>
        <n v="1142483.77889582"/>
        <n v="165977.42873872301"/>
        <n v="413528.52961560199"/>
        <n v="317374.046898762"/>
        <n v="330030.18249878997"/>
        <n v="1565339.02439741"/>
        <n v="188158.08205964699"/>
      </sharedItems>
    </cacheField>
    <cacheField name="Monthly_EMI" numFmtId="0">
      <sharedItems containsSemiMixedTypes="0" containsString="0" containsNumber="1" minValue="261.88" maxValue="127849.23"/>
    </cacheField>
    <cacheField name="Payment_History" numFmtId="0">
      <sharedItems/>
    </cacheField>
    <cacheField name="Num_Missed_Payments" numFmtId="0">
      <sharedItems containsSemiMixedTypes="0" containsString="0" containsNumber="1" containsInteger="1" minValue="0" maxValue="12"/>
    </cacheField>
    <cacheField name="Days_Past_Due" numFmtId="0">
      <sharedItems containsSemiMixedTypes="0" containsString="0" containsNumber="1" containsInteger="1" minValue="0" maxValue="180"/>
    </cacheField>
    <cacheField name="Recovery_Status" numFmtId="0">
      <sharedItems count="3">
        <s v="Partially Recovered"/>
        <s v="Fully Recovered"/>
        <s v="Written Off"/>
      </sharedItems>
    </cacheField>
    <cacheField name="Collection_Attempts" numFmtId="0">
      <sharedItems containsSemiMixedTypes="0" containsString="0" containsNumber="1" containsInteger="1" minValue="0" maxValue="10"/>
    </cacheField>
    <cacheField name="Collection_Method" numFmtId="0">
      <sharedItems count="4">
        <s v="Settlement Offer"/>
        <s v="Legal Notice"/>
        <s v="Calls"/>
        <s v="Debt Collectors"/>
      </sharedItems>
    </cacheField>
    <cacheField name="Legal_Action_Taken" numFmtId="0">
      <sharedItems count="2">
        <s v="No"/>
        <s v="Yes"/>
      </sharedItems>
    </cacheField>
  </cacheFields>
  <extLst>
    <ext xmlns:x14="http://schemas.microsoft.com/office/spreadsheetml/2009/9/main" uri="{725AE2AE-9491-48be-B2B4-4EB974FC3084}">
      <x14:pivotCacheDefinition pivotCacheId="833165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215422"/>
    <n v="0"/>
    <s v="LN_1"/>
    <n v="1445796"/>
    <x v="0"/>
    <n v="12.39"/>
    <x v="0"/>
    <n v="1727997.2578966499"/>
    <x v="0"/>
    <n v="4856.88"/>
    <s v="On-Time"/>
    <n v="0"/>
    <n v="0"/>
    <x v="0"/>
    <n v="1"/>
    <x v="0"/>
    <x v="0"/>
  </r>
  <r>
    <x v="1"/>
    <x v="1"/>
    <x v="1"/>
    <x v="0"/>
    <n v="60893"/>
    <n v="0"/>
    <s v="LN_2"/>
    <n v="1044620"/>
    <x v="1"/>
    <n v="13.47"/>
    <x v="1"/>
    <n v="1180032.3616897501"/>
    <x v="1"/>
    <n v="55433.68"/>
    <s v="On-Time"/>
    <n v="0"/>
    <n v="0"/>
    <x v="1"/>
    <n v="2"/>
    <x v="0"/>
    <x v="0"/>
  </r>
  <r>
    <x v="2"/>
    <x v="2"/>
    <x v="0"/>
    <x v="0"/>
    <n v="116520"/>
    <n v="1"/>
    <s v="LN_3"/>
    <n v="1923410"/>
    <x v="2"/>
    <n v="7.74"/>
    <x v="0"/>
    <n v="2622539.93058324"/>
    <x v="2"/>
    <n v="14324.61"/>
    <s v="Delayed"/>
    <n v="2"/>
    <n v="124"/>
    <x v="1"/>
    <n v="2"/>
    <x v="1"/>
    <x v="0"/>
  </r>
  <r>
    <x v="3"/>
    <x v="3"/>
    <x v="1"/>
    <x v="0"/>
    <n v="140818"/>
    <n v="2"/>
    <s v="LN_4"/>
    <n v="1811663"/>
    <x v="3"/>
    <n v="12.23"/>
    <x v="0"/>
    <n v="1145492.6801053199"/>
    <x v="3"/>
    <n v="6249.28"/>
    <s v="On-Time"/>
    <n v="1"/>
    <n v="56"/>
    <x v="1"/>
    <n v="2"/>
    <x v="2"/>
    <x v="0"/>
  </r>
  <r>
    <x v="4"/>
    <x v="4"/>
    <x v="0"/>
    <x v="0"/>
    <n v="76272"/>
    <n v="1"/>
    <s v="LN_5"/>
    <n v="88578"/>
    <x v="4"/>
    <n v="16.13"/>
    <x v="2"/>
    <n v="0"/>
    <x v="4"/>
    <n v="816.46"/>
    <s v="On-Time"/>
    <n v="1"/>
    <n v="69"/>
    <x v="1"/>
    <n v="0"/>
    <x v="3"/>
    <x v="0"/>
  </r>
  <r>
    <x v="5"/>
    <x v="5"/>
    <x v="0"/>
    <x v="0"/>
    <n v="238224"/>
    <n v="3"/>
    <s v="LN_6"/>
    <n v="664741"/>
    <x v="3"/>
    <n v="15.86"/>
    <x v="1"/>
    <n v="982214.62782972399"/>
    <x v="5"/>
    <n v="3610.15"/>
    <s v="On-Time"/>
    <n v="1"/>
    <n v="111"/>
    <x v="0"/>
    <n v="6"/>
    <x v="1"/>
    <x v="0"/>
  </r>
  <r>
    <x v="6"/>
    <x v="0"/>
    <x v="1"/>
    <x v="1"/>
    <n v="82649"/>
    <n v="1"/>
    <s v="LN_7"/>
    <n v="1514110"/>
    <x v="0"/>
    <n v="17.059999999999999"/>
    <x v="0"/>
    <n v="1639218.85925618"/>
    <x v="6"/>
    <n v="14591.51"/>
    <s v="On-Time"/>
    <n v="0"/>
    <n v="0"/>
    <x v="0"/>
    <n v="8"/>
    <x v="3"/>
    <x v="0"/>
  </r>
  <r>
    <x v="7"/>
    <x v="6"/>
    <x v="0"/>
    <x v="0"/>
    <n v="79674"/>
    <n v="0"/>
    <s v="LN_8"/>
    <n v="912147"/>
    <x v="1"/>
    <n v="9.76"/>
    <x v="2"/>
    <n v="0"/>
    <x v="7"/>
    <n v="34676.78"/>
    <s v="Delayed"/>
    <n v="0"/>
    <n v="0"/>
    <x v="1"/>
    <n v="0"/>
    <x v="0"/>
    <x v="0"/>
  </r>
  <r>
    <x v="8"/>
    <x v="7"/>
    <x v="0"/>
    <x v="1"/>
    <n v="159832"/>
    <n v="3"/>
    <s v="LN_9"/>
    <n v="258859"/>
    <x v="2"/>
    <n v="9.1300000000000008"/>
    <x v="0"/>
    <n v="387116.94360234402"/>
    <x v="8"/>
    <n v="2343.5300000000002"/>
    <s v="On-Time"/>
    <n v="3"/>
    <n v="124"/>
    <x v="1"/>
    <n v="3"/>
    <x v="0"/>
    <x v="0"/>
  </r>
  <r>
    <x v="9"/>
    <x v="8"/>
    <x v="0"/>
    <x v="1"/>
    <n v="167999"/>
    <n v="0"/>
    <s v="LN_10"/>
    <n v="161435"/>
    <x v="0"/>
    <n v="14.74"/>
    <x v="2"/>
    <n v="0"/>
    <x v="9"/>
    <n v="2219.84"/>
    <s v="Delayed"/>
    <n v="0"/>
    <n v="0"/>
    <x v="0"/>
    <n v="6"/>
    <x v="1"/>
    <x v="0"/>
  </r>
  <r>
    <x v="10"/>
    <x v="8"/>
    <x v="0"/>
    <x v="2"/>
    <n v="101475"/>
    <n v="2"/>
    <s v="LN_11"/>
    <n v="790389"/>
    <x v="5"/>
    <n v="10.6"/>
    <x v="1"/>
    <n v="1115645.71266238"/>
    <x v="10"/>
    <n v="12175.34"/>
    <s v="On-Time"/>
    <n v="0"/>
    <n v="0"/>
    <x v="1"/>
    <n v="0"/>
    <x v="2"/>
    <x v="0"/>
  </r>
  <r>
    <x v="11"/>
    <x v="9"/>
    <x v="1"/>
    <x v="1"/>
    <n v="76367"/>
    <n v="0"/>
    <s v="LN_12"/>
    <n v="1250114"/>
    <x v="0"/>
    <n v="6.14"/>
    <x v="0"/>
    <n v="901978.84311040305"/>
    <x v="11"/>
    <n v="20124.580000000002"/>
    <s v="On-Time"/>
    <n v="0"/>
    <n v="0"/>
    <x v="1"/>
    <n v="1"/>
    <x v="0"/>
    <x v="0"/>
  </r>
  <r>
    <x v="12"/>
    <x v="10"/>
    <x v="0"/>
    <x v="1"/>
    <n v="244027"/>
    <n v="0"/>
    <s v="LN_13"/>
    <n v="1980750"/>
    <x v="0"/>
    <n v="8.68"/>
    <x v="3"/>
    <n v="1101617.90111599"/>
    <x v="12"/>
    <n v="19215.62"/>
    <s v="Delayed"/>
    <n v="1"/>
    <n v="7"/>
    <x v="2"/>
    <n v="8"/>
    <x v="3"/>
    <x v="0"/>
  </r>
  <r>
    <x v="13"/>
    <x v="11"/>
    <x v="0"/>
    <x v="2"/>
    <n v="158660"/>
    <n v="1"/>
    <s v="LN_14"/>
    <n v="95475"/>
    <x v="4"/>
    <n v="10.44"/>
    <x v="2"/>
    <n v="0"/>
    <x v="13"/>
    <n v="1305.74"/>
    <s v="Missed"/>
    <n v="3"/>
    <n v="99"/>
    <x v="1"/>
    <n v="2"/>
    <x v="3"/>
    <x v="0"/>
  </r>
  <r>
    <x v="14"/>
    <x v="9"/>
    <x v="0"/>
    <x v="2"/>
    <n v="136750"/>
    <n v="0"/>
    <s v="LN_15"/>
    <n v="896574"/>
    <x v="3"/>
    <n v="8.8000000000000007"/>
    <x v="1"/>
    <n v="677486.36488048197"/>
    <x v="14"/>
    <n v="17747.310000000001"/>
    <s v="Delayed"/>
    <n v="0"/>
    <n v="0"/>
    <x v="2"/>
    <n v="9"/>
    <x v="1"/>
    <x v="0"/>
  </r>
  <r>
    <x v="15"/>
    <x v="12"/>
    <x v="1"/>
    <x v="0"/>
    <n v="247750"/>
    <n v="3"/>
    <s v="LN_16"/>
    <n v="1839096"/>
    <x v="3"/>
    <n v="9.32"/>
    <x v="0"/>
    <n v="1889788.1966202401"/>
    <x v="15"/>
    <n v="35763.18"/>
    <s v="On-Time"/>
    <n v="1"/>
    <n v="86"/>
    <x v="1"/>
    <n v="3"/>
    <x v="3"/>
    <x v="0"/>
  </r>
  <r>
    <x v="16"/>
    <x v="13"/>
    <x v="0"/>
    <x v="0"/>
    <n v="133154"/>
    <n v="3"/>
    <s v="LN_17"/>
    <n v="1256212"/>
    <x v="5"/>
    <n v="8.82"/>
    <x v="1"/>
    <n v="843667.41546369705"/>
    <x v="16"/>
    <n v="29305"/>
    <s v="On-Time"/>
    <n v="3"/>
    <n v="171"/>
    <x v="1"/>
    <n v="3"/>
    <x v="2"/>
    <x v="0"/>
  </r>
  <r>
    <x v="17"/>
    <x v="14"/>
    <x v="0"/>
    <x v="0"/>
    <n v="198305"/>
    <n v="2"/>
    <s v="LN_18"/>
    <n v="1252060"/>
    <x v="3"/>
    <n v="5.54"/>
    <x v="2"/>
    <n v="0"/>
    <x v="17"/>
    <n v="16898.91"/>
    <s v="Delayed"/>
    <n v="1"/>
    <n v="173"/>
    <x v="1"/>
    <n v="0"/>
    <x v="0"/>
    <x v="0"/>
  </r>
  <r>
    <x v="18"/>
    <x v="9"/>
    <x v="1"/>
    <x v="0"/>
    <n v="59738"/>
    <n v="3"/>
    <s v="LN_19"/>
    <n v="1192102"/>
    <x v="2"/>
    <n v="13.28"/>
    <x v="0"/>
    <n v="795680.09635938297"/>
    <x v="18"/>
    <n v="2457.12"/>
    <s v="On-Time"/>
    <n v="3"/>
    <n v="103"/>
    <x v="2"/>
    <n v="3"/>
    <x v="3"/>
    <x v="1"/>
  </r>
  <r>
    <x v="19"/>
    <x v="15"/>
    <x v="1"/>
    <x v="1"/>
    <n v="48397"/>
    <n v="1"/>
    <s v="LN_20"/>
    <n v="1149577"/>
    <x v="1"/>
    <n v="12.76"/>
    <x v="1"/>
    <n v="1106575.4021005"/>
    <x v="19"/>
    <n v="11484.01"/>
    <s v="On-Time"/>
    <n v="2"/>
    <n v="42"/>
    <x v="1"/>
    <n v="2"/>
    <x v="3"/>
    <x v="0"/>
  </r>
  <r>
    <x v="20"/>
    <x v="16"/>
    <x v="0"/>
    <x v="1"/>
    <n v="97189"/>
    <n v="2"/>
    <s v="LN_21"/>
    <n v="894081"/>
    <x v="0"/>
    <n v="13.49"/>
    <x v="2"/>
    <n v="0"/>
    <x v="20"/>
    <n v="6290.83"/>
    <s v="Delayed"/>
    <n v="0"/>
    <n v="0"/>
    <x v="1"/>
    <n v="1"/>
    <x v="0"/>
    <x v="0"/>
  </r>
  <r>
    <x v="21"/>
    <x v="17"/>
    <x v="0"/>
    <x v="1"/>
    <n v="91367"/>
    <n v="3"/>
    <s v="LN_22"/>
    <n v="242029"/>
    <x v="3"/>
    <n v="7.5"/>
    <x v="2"/>
    <n v="0"/>
    <x v="21"/>
    <n v="2691.19"/>
    <s v="Delayed"/>
    <n v="1"/>
    <n v="119"/>
    <x v="2"/>
    <n v="4"/>
    <x v="1"/>
    <x v="0"/>
  </r>
  <r>
    <x v="22"/>
    <x v="14"/>
    <x v="0"/>
    <x v="0"/>
    <n v="217332"/>
    <n v="1"/>
    <s v="LN_23"/>
    <n v="478733"/>
    <x v="4"/>
    <n v="8.84"/>
    <x v="0"/>
    <n v="255292.97564182"/>
    <x v="22"/>
    <n v="4477.41"/>
    <s v="Missed"/>
    <n v="11"/>
    <n v="32"/>
    <x v="1"/>
    <n v="3"/>
    <x v="3"/>
    <x v="0"/>
  </r>
  <r>
    <x v="23"/>
    <x v="5"/>
    <x v="0"/>
    <x v="1"/>
    <n v="135585"/>
    <n v="3"/>
    <s v="LN_24"/>
    <n v="718516"/>
    <x v="0"/>
    <n v="13.06"/>
    <x v="0"/>
    <n v="446836.53750875703"/>
    <x v="23"/>
    <n v="2688.82"/>
    <s v="Missed"/>
    <n v="6"/>
    <n v="159"/>
    <x v="1"/>
    <n v="3"/>
    <x v="1"/>
    <x v="0"/>
  </r>
  <r>
    <x v="24"/>
    <x v="18"/>
    <x v="0"/>
    <x v="1"/>
    <n v="91619"/>
    <n v="3"/>
    <s v="LN_25"/>
    <n v="990568"/>
    <x v="2"/>
    <n v="12.8"/>
    <x v="2"/>
    <n v="0"/>
    <x v="24"/>
    <n v="10515.86"/>
    <s v="Delayed"/>
    <n v="2"/>
    <n v="136"/>
    <x v="1"/>
    <n v="0"/>
    <x v="1"/>
    <x v="0"/>
  </r>
  <r>
    <x v="25"/>
    <x v="19"/>
    <x v="0"/>
    <x v="1"/>
    <n v="126453"/>
    <n v="0"/>
    <s v="LN_26"/>
    <n v="1648575"/>
    <x v="3"/>
    <n v="11.58"/>
    <x v="2"/>
    <n v="0"/>
    <x v="25"/>
    <n v="39898.629999999997"/>
    <s v="On-Time"/>
    <n v="2"/>
    <n v="6"/>
    <x v="0"/>
    <n v="0"/>
    <x v="3"/>
    <x v="0"/>
  </r>
  <r>
    <x v="26"/>
    <x v="13"/>
    <x v="0"/>
    <x v="2"/>
    <n v="34816"/>
    <n v="3"/>
    <s v="LN_27"/>
    <n v="1652970"/>
    <x v="4"/>
    <n v="9.56"/>
    <x v="2"/>
    <n v="0"/>
    <x v="26"/>
    <n v="32537.45"/>
    <s v="On-Time"/>
    <n v="1"/>
    <n v="100"/>
    <x v="1"/>
    <n v="1"/>
    <x v="2"/>
    <x v="0"/>
  </r>
  <r>
    <x v="27"/>
    <x v="15"/>
    <x v="0"/>
    <x v="1"/>
    <n v="188312"/>
    <n v="3"/>
    <s v="LN_28"/>
    <n v="1950466"/>
    <x v="3"/>
    <n v="16.87"/>
    <x v="1"/>
    <n v="1786356.4032296599"/>
    <x v="27"/>
    <n v="29426.36"/>
    <s v="On-Time"/>
    <n v="1"/>
    <n v="151"/>
    <x v="1"/>
    <n v="1"/>
    <x v="1"/>
    <x v="0"/>
  </r>
  <r>
    <x v="28"/>
    <x v="20"/>
    <x v="1"/>
    <x v="0"/>
    <n v="152348"/>
    <n v="1"/>
    <s v="LN_29"/>
    <n v="1581064"/>
    <x v="1"/>
    <n v="9.42"/>
    <x v="0"/>
    <n v="890344.42677198397"/>
    <x v="28"/>
    <n v="96284.05"/>
    <s v="On-Time"/>
    <n v="2"/>
    <n v="144"/>
    <x v="1"/>
    <n v="2"/>
    <x v="3"/>
    <x v="0"/>
  </r>
  <r>
    <x v="29"/>
    <x v="21"/>
    <x v="1"/>
    <x v="1"/>
    <n v="94530"/>
    <n v="1"/>
    <s v="LN_30"/>
    <n v="1491149"/>
    <x v="3"/>
    <n v="10.92"/>
    <x v="1"/>
    <n v="1337195.4056786101"/>
    <x v="29"/>
    <n v="36035.94"/>
    <s v="On-Time"/>
    <n v="0"/>
    <n v="0"/>
    <x v="1"/>
    <n v="0"/>
    <x v="1"/>
    <x v="0"/>
  </r>
  <r>
    <x v="30"/>
    <x v="22"/>
    <x v="0"/>
    <x v="0"/>
    <n v="169571"/>
    <n v="0"/>
    <s v="LN_31"/>
    <n v="267583"/>
    <x v="4"/>
    <n v="13.82"/>
    <x v="3"/>
    <n v="260627.51866128299"/>
    <x v="30"/>
    <n v="2656.11"/>
    <s v="On-Time"/>
    <n v="0"/>
    <n v="0"/>
    <x v="2"/>
    <n v="8"/>
    <x v="0"/>
    <x v="1"/>
  </r>
  <r>
    <x v="31"/>
    <x v="23"/>
    <x v="1"/>
    <x v="0"/>
    <n v="234648"/>
    <n v="3"/>
    <s v="LN_32"/>
    <n v="413898"/>
    <x v="3"/>
    <n v="12.06"/>
    <x v="0"/>
    <n v="393727.34903163399"/>
    <x v="31"/>
    <n v="4351.3500000000004"/>
    <s v="On-Time"/>
    <n v="3"/>
    <n v="169"/>
    <x v="2"/>
    <n v="6"/>
    <x v="2"/>
    <x v="0"/>
  </r>
  <r>
    <x v="32"/>
    <x v="24"/>
    <x v="1"/>
    <x v="1"/>
    <n v="123856"/>
    <n v="0"/>
    <s v="LN_33"/>
    <n v="188286"/>
    <x v="0"/>
    <n v="9.51"/>
    <x v="2"/>
    <n v="0"/>
    <x v="32"/>
    <n v="2959.39"/>
    <s v="On-Time"/>
    <n v="0"/>
    <n v="0"/>
    <x v="0"/>
    <n v="1"/>
    <x v="2"/>
    <x v="0"/>
  </r>
  <r>
    <x v="33"/>
    <x v="2"/>
    <x v="0"/>
    <x v="0"/>
    <n v="228567"/>
    <n v="3"/>
    <s v="LN_34"/>
    <n v="277189"/>
    <x v="3"/>
    <n v="10.66"/>
    <x v="2"/>
    <n v="0"/>
    <x v="33"/>
    <n v="4343.47"/>
    <s v="On-Time"/>
    <n v="2"/>
    <n v="6"/>
    <x v="0"/>
    <n v="3"/>
    <x v="0"/>
    <x v="0"/>
  </r>
  <r>
    <x v="34"/>
    <x v="15"/>
    <x v="0"/>
    <x v="1"/>
    <n v="86635"/>
    <n v="2"/>
    <s v="LN_35"/>
    <n v="1225055"/>
    <x v="4"/>
    <n v="15.33"/>
    <x v="2"/>
    <n v="0"/>
    <x v="34"/>
    <n v="13974.01"/>
    <s v="On-Time"/>
    <n v="2"/>
    <n v="21"/>
    <x v="0"/>
    <n v="1"/>
    <x v="0"/>
    <x v="0"/>
  </r>
  <r>
    <x v="35"/>
    <x v="12"/>
    <x v="0"/>
    <x v="0"/>
    <n v="122803"/>
    <n v="2"/>
    <s v="LN_36"/>
    <n v="1518919"/>
    <x v="3"/>
    <n v="8.6199999999999992"/>
    <x v="3"/>
    <n v="2079665.70523184"/>
    <x v="35"/>
    <n v="10994.21"/>
    <s v="On-Time"/>
    <n v="2"/>
    <n v="164"/>
    <x v="1"/>
    <n v="3"/>
    <x v="1"/>
    <x v="0"/>
  </r>
  <r>
    <x v="36"/>
    <x v="25"/>
    <x v="0"/>
    <x v="1"/>
    <n v="231184"/>
    <n v="0"/>
    <s v="LN_37"/>
    <n v="1234789"/>
    <x v="0"/>
    <n v="6.85"/>
    <x v="0"/>
    <n v="1271909.7888108699"/>
    <x v="36"/>
    <n v="4061.21"/>
    <s v="Delayed"/>
    <n v="0"/>
    <n v="0"/>
    <x v="0"/>
    <n v="1"/>
    <x v="0"/>
    <x v="0"/>
  </r>
  <r>
    <x v="37"/>
    <x v="26"/>
    <x v="1"/>
    <x v="0"/>
    <n v="50946"/>
    <n v="0"/>
    <s v="LN_38"/>
    <n v="603172"/>
    <x v="2"/>
    <n v="9.07"/>
    <x v="2"/>
    <n v="0"/>
    <x v="37"/>
    <n v="7186.93"/>
    <s v="On-Time"/>
    <n v="3"/>
    <n v="109"/>
    <x v="1"/>
    <n v="1"/>
    <x v="2"/>
    <x v="0"/>
  </r>
  <r>
    <x v="38"/>
    <x v="5"/>
    <x v="0"/>
    <x v="2"/>
    <n v="70204"/>
    <n v="0"/>
    <s v="LN_39"/>
    <n v="1363428"/>
    <x v="4"/>
    <n v="16.04"/>
    <x v="2"/>
    <n v="0"/>
    <x v="38"/>
    <n v="18540.34"/>
    <s v="On-Time"/>
    <n v="0"/>
    <n v="0"/>
    <x v="1"/>
    <n v="3"/>
    <x v="0"/>
    <x v="0"/>
  </r>
  <r>
    <x v="39"/>
    <x v="27"/>
    <x v="0"/>
    <x v="1"/>
    <n v="197958"/>
    <n v="1"/>
    <s v="LN_40"/>
    <n v="854807"/>
    <x v="0"/>
    <n v="6.16"/>
    <x v="0"/>
    <n v="827436.47518946906"/>
    <x v="39"/>
    <n v="5602.44"/>
    <s v="Delayed"/>
    <n v="3"/>
    <n v="34"/>
    <x v="0"/>
    <n v="4"/>
    <x v="3"/>
    <x v="0"/>
  </r>
  <r>
    <x v="40"/>
    <x v="0"/>
    <x v="1"/>
    <x v="0"/>
    <n v="217724"/>
    <n v="1"/>
    <s v="LN_41"/>
    <n v="1637952"/>
    <x v="3"/>
    <n v="17.89"/>
    <x v="0"/>
    <n v="1491698.02990777"/>
    <x v="40"/>
    <n v="12401.23"/>
    <s v="On-Time"/>
    <n v="0"/>
    <n v="0"/>
    <x v="1"/>
    <n v="2"/>
    <x v="3"/>
    <x v="0"/>
  </r>
  <r>
    <x v="41"/>
    <x v="28"/>
    <x v="1"/>
    <x v="0"/>
    <n v="30563"/>
    <n v="1"/>
    <s v="LN_42"/>
    <n v="1418335"/>
    <x v="4"/>
    <n v="12.03"/>
    <x v="2"/>
    <n v="0"/>
    <x v="41"/>
    <n v="17727.64"/>
    <s v="On-Time"/>
    <n v="2"/>
    <n v="118"/>
    <x v="0"/>
    <n v="6"/>
    <x v="1"/>
    <x v="0"/>
  </r>
  <r>
    <x v="42"/>
    <x v="29"/>
    <x v="0"/>
    <x v="2"/>
    <n v="107324"/>
    <n v="0"/>
    <s v="LN_43"/>
    <n v="1470858"/>
    <x v="3"/>
    <n v="17.8"/>
    <x v="3"/>
    <n v="1938036.8869661801"/>
    <x v="42"/>
    <n v="25557.279999999999"/>
    <s v="On-Time"/>
    <n v="2"/>
    <n v="46"/>
    <x v="1"/>
    <n v="3"/>
    <x v="2"/>
    <x v="0"/>
  </r>
  <r>
    <x v="43"/>
    <x v="20"/>
    <x v="1"/>
    <x v="0"/>
    <n v="238536"/>
    <n v="3"/>
    <s v="LN_44"/>
    <n v="1798982"/>
    <x v="3"/>
    <n v="17.21"/>
    <x v="0"/>
    <n v="2509681.71957683"/>
    <x v="43"/>
    <n v="14306.62"/>
    <s v="On-Time"/>
    <n v="1"/>
    <n v="12"/>
    <x v="0"/>
    <n v="7"/>
    <x v="3"/>
    <x v="0"/>
  </r>
  <r>
    <x v="44"/>
    <x v="30"/>
    <x v="1"/>
    <x v="0"/>
    <n v="247944"/>
    <n v="2"/>
    <s v="LN_45"/>
    <n v="322158"/>
    <x v="0"/>
    <n v="10.89"/>
    <x v="2"/>
    <n v="0"/>
    <x v="44"/>
    <n v="4651.24"/>
    <s v="Missed"/>
    <n v="11"/>
    <n v="66"/>
    <x v="1"/>
    <n v="1"/>
    <x v="0"/>
    <x v="0"/>
  </r>
  <r>
    <x v="45"/>
    <x v="27"/>
    <x v="1"/>
    <x v="0"/>
    <n v="24847"/>
    <n v="0"/>
    <s v="LN_46"/>
    <n v="1818361"/>
    <x v="2"/>
    <n v="7.58"/>
    <x v="1"/>
    <n v="2460683.3295317399"/>
    <x v="45"/>
    <n v="4440.79"/>
    <s v="On-Time"/>
    <n v="0"/>
    <n v="0"/>
    <x v="0"/>
    <n v="7"/>
    <x v="3"/>
    <x v="0"/>
  </r>
  <r>
    <x v="46"/>
    <x v="31"/>
    <x v="0"/>
    <x v="0"/>
    <n v="41155"/>
    <n v="1"/>
    <s v="LN_47"/>
    <n v="1495065"/>
    <x v="5"/>
    <n v="7.14"/>
    <x v="2"/>
    <n v="0"/>
    <x v="46"/>
    <n v="26193.77"/>
    <s v="Delayed"/>
    <n v="0"/>
    <n v="0"/>
    <x v="0"/>
    <n v="8"/>
    <x v="3"/>
    <x v="0"/>
  </r>
  <r>
    <x v="47"/>
    <x v="14"/>
    <x v="1"/>
    <x v="1"/>
    <n v="94671"/>
    <n v="1"/>
    <s v="LN_48"/>
    <n v="752495"/>
    <x v="4"/>
    <n v="8.1199999999999992"/>
    <x v="3"/>
    <n v="883087.93231098098"/>
    <x v="47"/>
    <n v="11167.43"/>
    <s v="On-Time"/>
    <n v="1"/>
    <n v="97"/>
    <x v="1"/>
    <n v="1"/>
    <x v="1"/>
    <x v="0"/>
  </r>
  <r>
    <x v="48"/>
    <x v="32"/>
    <x v="0"/>
    <x v="1"/>
    <n v="131891"/>
    <n v="0"/>
    <s v="LN_49"/>
    <n v="1463562"/>
    <x v="4"/>
    <n v="14.23"/>
    <x v="3"/>
    <n v="932818.43165340496"/>
    <x v="48"/>
    <n v="10571.44"/>
    <s v="On-Time"/>
    <n v="2"/>
    <n v="83"/>
    <x v="1"/>
    <n v="3"/>
    <x v="0"/>
    <x v="0"/>
  </r>
  <r>
    <x v="49"/>
    <x v="23"/>
    <x v="1"/>
    <x v="0"/>
    <n v="98310"/>
    <n v="0"/>
    <s v="LN_50"/>
    <n v="1588814"/>
    <x v="5"/>
    <n v="8.5500000000000007"/>
    <x v="1"/>
    <n v="1234301.88370848"/>
    <x v="49"/>
    <n v="55933.38"/>
    <s v="On-Time"/>
    <n v="0"/>
    <n v="0"/>
    <x v="1"/>
    <n v="1"/>
    <x v="0"/>
    <x v="0"/>
  </r>
  <r>
    <x v="50"/>
    <x v="26"/>
    <x v="1"/>
    <x v="0"/>
    <n v="213350"/>
    <n v="1"/>
    <s v="LN_51"/>
    <n v="128077"/>
    <x v="5"/>
    <n v="9.44"/>
    <x v="1"/>
    <n v="69938.119007196598"/>
    <x v="50"/>
    <n v="4087.16"/>
    <s v="On-Time"/>
    <n v="1"/>
    <n v="54"/>
    <x v="1"/>
    <n v="1"/>
    <x v="0"/>
    <x v="0"/>
  </r>
  <r>
    <x v="51"/>
    <x v="15"/>
    <x v="1"/>
    <x v="1"/>
    <n v="164381"/>
    <n v="3"/>
    <s v="LN_52"/>
    <n v="1238360"/>
    <x v="3"/>
    <n v="10.83"/>
    <x v="2"/>
    <n v="0"/>
    <x v="51"/>
    <n v="27867.25"/>
    <s v="On-Time"/>
    <n v="0"/>
    <n v="0"/>
    <x v="0"/>
    <n v="1"/>
    <x v="1"/>
    <x v="0"/>
  </r>
  <r>
    <x v="52"/>
    <x v="4"/>
    <x v="1"/>
    <x v="0"/>
    <n v="146691"/>
    <n v="1"/>
    <s v="LN_53"/>
    <n v="1304352"/>
    <x v="5"/>
    <n v="16.87"/>
    <x v="3"/>
    <n v="1866298.24386151"/>
    <x v="52"/>
    <n v="11260.68"/>
    <s v="On-Time"/>
    <n v="3"/>
    <n v="116"/>
    <x v="2"/>
    <n v="4"/>
    <x v="0"/>
    <x v="1"/>
  </r>
  <r>
    <x v="53"/>
    <x v="33"/>
    <x v="1"/>
    <x v="0"/>
    <n v="229266"/>
    <n v="1"/>
    <s v="LN_54"/>
    <n v="365018"/>
    <x v="5"/>
    <n v="7.46"/>
    <x v="0"/>
    <n v="423712.35771071701"/>
    <x v="53"/>
    <n v="3444.74"/>
    <s v="On-Time"/>
    <n v="2"/>
    <n v="83"/>
    <x v="1"/>
    <n v="3"/>
    <x v="0"/>
    <x v="0"/>
  </r>
  <r>
    <x v="54"/>
    <x v="30"/>
    <x v="1"/>
    <x v="2"/>
    <n v="196180"/>
    <n v="0"/>
    <s v="LN_55"/>
    <n v="119087"/>
    <x v="3"/>
    <n v="5.07"/>
    <x v="1"/>
    <n v="148425.61680421099"/>
    <x v="54"/>
    <n v="1183.68"/>
    <s v="Delayed"/>
    <n v="3"/>
    <n v="86"/>
    <x v="0"/>
    <n v="5"/>
    <x v="3"/>
    <x v="0"/>
  </r>
  <r>
    <x v="55"/>
    <x v="34"/>
    <x v="0"/>
    <x v="1"/>
    <n v="49707"/>
    <n v="3"/>
    <s v="LN_56"/>
    <n v="1897305"/>
    <x v="3"/>
    <n v="5.78"/>
    <x v="3"/>
    <n v="1539799.11936806"/>
    <x v="55"/>
    <n v="29844.05"/>
    <s v="On-Time"/>
    <n v="2"/>
    <n v="97"/>
    <x v="0"/>
    <n v="8"/>
    <x v="3"/>
    <x v="0"/>
  </r>
  <r>
    <x v="56"/>
    <x v="10"/>
    <x v="0"/>
    <x v="1"/>
    <n v="166409"/>
    <n v="1"/>
    <s v="LN_57"/>
    <n v="1863205"/>
    <x v="0"/>
    <n v="16.760000000000002"/>
    <x v="3"/>
    <n v="2507228.37097476"/>
    <x v="56"/>
    <n v="24010.95"/>
    <s v="Delayed"/>
    <n v="1"/>
    <n v="71"/>
    <x v="1"/>
    <n v="2"/>
    <x v="0"/>
    <x v="0"/>
  </r>
  <r>
    <x v="57"/>
    <x v="11"/>
    <x v="0"/>
    <x v="1"/>
    <n v="96537"/>
    <n v="1"/>
    <s v="LN_58"/>
    <n v="863560"/>
    <x v="4"/>
    <n v="13.42"/>
    <x v="1"/>
    <n v="655963.01167929405"/>
    <x v="57"/>
    <n v="15343.98"/>
    <s v="Delayed"/>
    <n v="2"/>
    <n v="107"/>
    <x v="0"/>
    <n v="0"/>
    <x v="2"/>
    <x v="0"/>
  </r>
  <r>
    <x v="58"/>
    <x v="29"/>
    <x v="1"/>
    <x v="0"/>
    <n v="212576"/>
    <n v="2"/>
    <s v="LN_59"/>
    <n v="1691232"/>
    <x v="2"/>
    <n v="8.5500000000000007"/>
    <x v="2"/>
    <n v="0"/>
    <x v="58"/>
    <n v="17238.86"/>
    <s v="On-Time"/>
    <n v="2"/>
    <n v="64"/>
    <x v="0"/>
    <n v="4"/>
    <x v="2"/>
    <x v="0"/>
  </r>
  <r>
    <x v="59"/>
    <x v="14"/>
    <x v="0"/>
    <x v="1"/>
    <n v="193686"/>
    <n v="0"/>
    <s v="LN_60"/>
    <n v="793859"/>
    <x v="3"/>
    <n v="7.3"/>
    <x v="3"/>
    <n v="398234.411377532"/>
    <x v="59"/>
    <n v="20634.54"/>
    <s v="On-Time"/>
    <n v="1"/>
    <n v="20"/>
    <x v="1"/>
    <n v="2"/>
    <x v="0"/>
    <x v="0"/>
  </r>
  <r>
    <x v="60"/>
    <x v="35"/>
    <x v="0"/>
    <x v="0"/>
    <n v="237500"/>
    <n v="2"/>
    <s v="LN_61"/>
    <n v="1439678"/>
    <x v="0"/>
    <n v="8.83"/>
    <x v="0"/>
    <n v="1261755.34041187"/>
    <x v="60"/>
    <n v="18352.759999999998"/>
    <s v="On-Time"/>
    <n v="2"/>
    <n v="120"/>
    <x v="1"/>
    <n v="3"/>
    <x v="2"/>
    <x v="0"/>
  </r>
  <r>
    <x v="61"/>
    <x v="22"/>
    <x v="0"/>
    <x v="0"/>
    <n v="106155"/>
    <n v="2"/>
    <s v="LN_62"/>
    <n v="345064"/>
    <x v="2"/>
    <n v="6.49"/>
    <x v="3"/>
    <n v="369481.239665662"/>
    <x v="61"/>
    <n v="1800.28"/>
    <s v="Delayed"/>
    <n v="0"/>
    <n v="0"/>
    <x v="1"/>
    <n v="1"/>
    <x v="1"/>
    <x v="0"/>
  </r>
  <r>
    <x v="62"/>
    <x v="29"/>
    <x v="0"/>
    <x v="0"/>
    <n v="15281"/>
    <n v="1"/>
    <s v="LN_63"/>
    <n v="301514"/>
    <x v="0"/>
    <n v="17.239999999999998"/>
    <x v="0"/>
    <n v="295093.21654461703"/>
    <x v="62"/>
    <n v="1701.41"/>
    <s v="On-Time"/>
    <n v="1"/>
    <n v="4"/>
    <x v="2"/>
    <n v="7"/>
    <x v="3"/>
    <x v="0"/>
  </r>
  <r>
    <x v="63"/>
    <x v="1"/>
    <x v="1"/>
    <x v="0"/>
    <n v="173492"/>
    <n v="0"/>
    <s v="LN_64"/>
    <n v="978660"/>
    <x v="3"/>
    <n v="15.19"/>
    <x v="2"/>
    <n v="0"/>
    <x v="63"/>
    <n v="19751.89"/>
    <s v="Delayed"/>
    <n v="1"/>
    <n v="138"/>
    <x v="2"/>
    <n v="8"/>
    <x v="1"/>
    <x v="0"/>
  </r>
  <r>
    <x v="64"/>
    <x v="28"/>
    <x v="1"/>
    <x v="1"/>
    <n v="226968"/>
    <n v="3"/>
    <s v="LN_65"/>
    <n v="192180"/>
    <x v="0"/>
    <n v="11.01"/>
    <x v="2"/>
    <n v="0"/>
    <x v="64"/>
    <n v="876.29"/>
    <s v="On-Time"/>
    <n v="1"/>
    <n v="13"/>
    <x v="0"/>
    <n v="7"/>
    <x v="3"/>
    <x v="0"/>
  </r>
  <r>
    <x v="65"/>
    <x v="31"/>
    <x v="0"/>
    <x v="0"/>
    <n v="185102"/>
    <n v="1"/>
    <s v="LN_66"/>
    <n v="834192"/>
    <x v="5"/>
    <n v="16.239999999999998"/>
    <x v="0"/>
    <n v="1136233.0215282601"/>
    <x v="65"/>
    <n v="6376.12"/>
    <s v="Delayed"/>
    <n v="3"/>
    <n v="89"/>
    <x v="1"/>
    <n v="2"/>
    <x v="2"/>
    <x v="0"/>
  </r>
  <r>
    <x v="66"/>
    <x v="15"/>
    <x v="1"/>
    <x v="0"/>
    <n v="147130"/>
    <n v="3"/>
    <s v="LN_67"/>
    <n v="485928"/>
    <x v="3"/>
    <n v="8.24"/>
    <x v="1"/>
    <n v="294183.37979410798"/>
    <x v="66"/>
    <n v="7815.35"/>
    <s v="On-Time"/>
    <n v="3"/>
    <n v="57"/>
    <x v="1"/>
    <n v="2"/>
    <x v="2"/>
    <x v="0"/>
  </r>
  <r>
    <x v="67"/>
    <x v="36"/>
    <x v="0"/>
    <x v="0"/>
    <n v="232285"/>
    <n v="3"/>
    <s v="LN_68"/>
    <n v="970114"/>
    <x v="4"/>
    <n v="14.32"/>
    <x v="2"/>
    <n v="0"/>
    <x v="67"/>
    <n v="16966.43"/>
    <s v="Delayed"/>
    <n v="2"/>
    <n v="166"/>
    <x v="1"/>
    <n v="3"/>
    <x v="0"/>
    <x v="0"/>
  </r>
  <r>
    <x v="68"/>
    <x v="37"/>
    <x v="0"/>
    <x v="0"/>
    <n v="91260"/>
    <n v="0"/>
    <s v="LN_69"/>
    <n v="651891"/>
    <x v="4"/>
    <n v="16.13"/>
    <x v="0"/>
    <n v="686978.01653816004"/>
    <x v="68"/>
    <n v="2597.27"/>
    <s v="On-Time"/>
    <n v="1"/>
    <n v="17"/>
    <x v="1"/>
    <n v="3"/>
    <x v="2"/>
    <x v="0"/>
  </r>
  <r>
    <x v="69"/>
    <x v="10"/>
    <x v="1"/>
    <x v="1"/>
    <n v="174476"/>
    <n v="2"/>
    <s v="LN_70"/>
    <n v="1132448"/>
    <x v="1"/>
    <n v="9.64"/>
    <x v="2"/>
    <n v="0"/>
    <x v="69"/>
    <n v="76695.25"/>
    <s v="On-Time"/>
    <n v="2"/>
    <n v="166"/>
    <x v="0"/>
    <n v="5"/>
    <x v="2"/>
    <x v="0"/>
  </r>
  <r>
    <x v="70"/>
    <x v="30"/>
    <x v="0"/>
    <x v="0"/>
    <n v="249554"/>
    <n v="0"/>
    <s v="LN_71"/>
    <n v="1371448"/>
    <x v="2"/>
    <n v="14.85"/>
    <x v="1"/>
    <n v="1389248.5033531799"/>
    <x v="70"/>
    <n v="15817.65"/>
    <s v="On-Time"/>
    <n v="0"/>
    <n v="0"/>
    <x v="2"/>
    <n v="3"/>
    <x v="0"/>
    <x v="1"/>
  </r>
  <r>
    <x v="71"/>
    <x v="38"/>
    <x v="0"/>
    <x v="1"/>
    <n v="175928"/>
    <n v="3"/>
    <s v="LN_72"/>
    <n v="407246"/>
    <x v="0"/>
    <n v="8.84"/>
    <x v="0"/>
    <n v="318219.16641768499"/>
    <x v="71"/>
    <n v="3624.81"/>
    <s v="On-Time"/>
    <n v="1"/>
    <n v="10"/>
    <x v="2"/>
    <n v="3"/>
    <x v="0"/>
    <x v="0"/>
  </r>
  <r>
    <x v="72"/>
    <x v="2"/>
    <x v="1"/>
    <x v="0"/>
    <n v="155272"/>
    <n v="1"/>
    <s v="LN_73"/>
    <n v="1587111"/>
    <x v="4"/>
    <n v="8.89"/>
    <x v="2"/>
    <n v="0"/>
    <x v="72"/>
    <n v="5011.9399999999996"/>
    <s v="Missed"/>
    <n v="0"/>
    <n v="0"/>
    <x v="0"/>
    <n v="9"/>
    <x v="3"/>
    <x v="0"/>
  </r>
  <r>
    <x v="73"/>
    <x v="4"/>
    <x v="0"/>
    <x v="0"/>
    <n v="79178"/>
    <n v="3"/>
    <s v="LN_74"/>
    <n v="1482769"/>
    <x v="2"/>
    <n v="6.39"/>
    <x v="2"/>
    <n v="0"/>
    <x v="73"/>
    <n v="5295.36"/>
    <s v="On-Time"/>
    <n v="2"/>
    <n v="7"/>
    <x v="1"/>
    <n v="3"/>
    <x v="2"/>
    <x v="0"/>
  </r>
  <r>
    <x v="74"/>
    <x v="30"/>
    <x v="0"/>
    <x v="1"/>
    <n v="48997"/>
    <n v="1"/>
    <s v="LN_75"/>
    <n v="1905591"/>
    <x v="3"/>
    <n v="10.72"/>
    <x v="2"/>
    <n v="0"/>
    <x v="74"/>
    <n v="38994.94"/>
    <s v="On-Time"/>
    <n v="3"/>
    <n v="63"/>
    <x v="1"/>
    <n v="1"/>
    <x v="3"/>
    <x v="0"/>
  </r>
  <r>
    <x v="75"/>
    <x v="7"/>
    <x v="0"/>
    <x v="0"/>
    <n v="171683"/>
    <n v="1"/>
    <s v="LN_76"/>
    <n v="135774"/>
    <x v="2"/>
    <n v="14.49"/>
    <x v="0"/>
    <n v="179524.19975703099"/>
    <x v="75"/>
    <n v="1396.59"/>
    <s v="On-Time"/>
    <n v="2"/>
    <n v="51"/>
    <x v="1"/>
    <n v="3"/>
    <x v="3"/>
    <x v="0"/>
  </r>
  <r>
    <x v="76"/>
    <x v="11"/>
    <x v="0"/>
    <x v="1"/>
    <n v="134273"/>
    <n v="0"/>
    <s v="LN_77"/>
    <n v="438518"/>
    <x v="4"/>
    <n v="17.22"/>
    <x v="2"/>
    <n v="0"/>
    <x v="76"/>
    <n v="8300.0499999999993"/>
    <s v="On-Time"/>
    <n v="0"/>
    <n v="0"/>
    <x v="0"/>
    <n v="0"/>
    <x v="1"/>
    <x v="0"/>
  </r>
  <r>
    <x v="77"/>
    <x v="5"/>
    <x v="0"/>
    <x v="0"/>
    <n v="187307"/>
    <n v="3"/>
    <s v="LN_78"/>
    <n v="1297098"/>
    <x v="5"/>
    <n v="12.85"/>
    <x v="2"/>
    <n v="0"/>
    <x v="77"/>
    <n v="33747.11"/>
    <s v="On-Time"/>
    <n v="1"/>
    <n v="5"/>
    <x v="0"/>
    <n v="5"/>
    <x v="2"/>
    <x v="0"/>
  </r>
  <r>
    <x v="78"/>
    <x v="24"/>
    <x v="0"/>
    <x v="0"/>
    <n v="181129"/>
    <n v="2"/>
    <s v="LN_79"/>
    <n v="1318933"/>
    <x v="0"/>
    <n v="16.22"/>
    <x v="3"/>
    <n v="1652423.4362486899"/>
    <x v="78"/>
    <n v="4653.5600000000004"/>
    <s v="Delayed"/>
    <n v="2"/>
    <n v="159"/>
    <x v="1"/>
    <n v="3"/>
    <x v="2"/>
    <x v="0"/>
  </r>
  <r>
    <x v="79"/>
    <x v="28"/>
    <x v="1"/>
    <x v="2"/>
    <n v="147311"/>
    <n v="3"/>
    <s v="LN_80"/>
    <n v="462672"/>
    <x v="0"/>
    <n v="15.69"/>
    <x v="1"/>
    <n v="570409.42592119297"/>
    <x v="79"/>
    <n v="1613.75"/>
    <s v="On-Time"/>
    <n v="1"/>
    <n v="39"/>
    <x v="1"/>
    <n v="3"/>
    <x v="1"/>
    <x v="0"/>
  </r>
  <r>
    <x v="80"/>
    <x v="9"/>
    <x v="1"/>
    <x v="0"/>
    <n v="249746"/>
    <n v="3"/>
    <s v="LN_81"/>
    <n v="1976126"/>
    <x v="0"/>
    <n v="7.25"/>
    <x v="0"/>
    <n v="2719529.7373128999"/>
    <x v="80"/>
    <n v="24669.27"/>
    <s v="Missed"/>
    <n v="10"/>
    <n v="61"/>
    <x v="1"/>
    <n v="3"/>
    <x v="3"/>
    <x v="0"/>
  </r>
  <r>
    <x v="81"/>
    <x v="31"/>
    <x v="1"/>
    <x v="0"/>
    <n v="211733"/>
    <n v="2"/>
    <s v="LN_82"/>
    <n v="1164518"/>
    <x v="2"/>
    <n v="11.32"/>
    <x v="3"/>
    <n v="1423954.6775465701"/>
    <x v="81"/>
    <n v="4292.6400000000003"/>
    <s v="On-Time"/>
    <n v="3"/>
    <n v="32"/>
    <x v="1"/>
    <n v="1"/>
    <x v="2"/>
    <x v="0"/>
  </r>
  <r>
    <x v="82"/>
    <x v="20"/>
    <x v="1"/>
    <x v="1"/>
    <n v="141945"/>
    <n v="0"/>
    <s v="LN_83"/>
    <n v="587977"/>
    <x v="0"/>
    <n v="6.52"/>
    <x v="2"/>
    <n v="0"/>
    <x v="82"/>
    <n v="3876.21"/>
    <s v="On-Time"/>
    <n v="3"/>
    <n v="121"/>
    <x v="1"/>
    <n v="3"/>
    <x v="3"/>
    <x v="0"/>
  </r>
  <r>
    <x v="83"/>
    <x v="39"/>
    <x v="1"/>
    <x v="0"/>
    <n v="60272"/>
    <n v="3"/>
    <s v="LN_84"/>
    <n v="1656140"/>
    <x v="4"/>
    <n v="13.87"/>
    <x v="0"/>
    <n v="1212031.63686043"/>
    <x v="83"/>
    <n v="18579.5"/>
    <s v="Delayed"/>
    <n v="3"/>
    <n v="171"/>
    <x v="1"/>
    <n v="0"/>
    <x v="1"/>
    <x v="0"/>
  </r>
  <r>
    <x v="84"/>
    <x v="1"/>
    <x v="0"/>
    <x v="1"/>
    <n v="104393"/>
    <n v="3"/>
    <s v="LN_85"/>
    <n v="1608141"/>
    <x v="2"/>
    <n v="17.350000000000001"/>
    <x v="0"/>
    <n v="1938714.8246750501"/>
    <x v="84"/>
    <n v="2731.35"/>
    <s v="Delayed"/>
    <n v="1"/>
    <n v="29"/>
    <x v="1"/>
    <n v="1"/>
    <x v="0"/>
    <x v="0"/>
  </r>
  <r>
    <x v="85"/>
    <x v="2"/>
    <x v="0"/>
    <x v="0"/>
    <n v="76212"/>
    <n v="1"/>
    <s v="LN_86"/>
    <n v="1621128"/>
    <x v="0"/>
    <n v="6.78"/>
    <x v="0"/>
    <n v="1309389.6464650501"/>
    <x v="85"/>
    <n v="8752.39"/>
    <s v="On-Time"/>
    <n v="2"/>
    <n v="144"/>
    <x v="0"/>
    <n v="8"/>
    <x v="3"/>
    <x v="0"/>
  </r>
  <r>
    <x v="86"/>
    <x v="40"/>
    <x v="0"/>
    <x v="2"/>
    <n v="161470"/>
    <n v="3"/>
    <s v="LN_87"/>
    <n v="676256"/>
    <x v="3"/>
    <n v="14.54"/>
    <x v="2"/>
    <n v="0"/>
    <x v="86"/>
    <n v="8774.43"/>
    <s v="Delayed"/>
    <n v="1"/>
    <n v="55"/>
    <x v="1"/>
    <n v="2"/>
    <x v="2"/>
    <x v="0"/>
  </r>
  <r>
    <x v="87"/>
    <x v="20"/>
    <x v="0"/>
    <x v="1"/>
    <n v="135030"/>
    <n v="2"/>
    <s v="LN_88"/>
    <n v="463089"/>
    <x v="2"/>
    <n v="13.22"/>
    <x v="0"/>
    <n v="343692.91665476002"/>
    <x v="87"/>
    <n v="2261.89"/>
    <s v="On-Time"/>
    <n v="1"/>
    <n v="119"/>
    <x v="1"/>
    <n v="0"/>
    <x v="0"/>
    <x v="0"/>
  </r>
  <r>
    <x v="88"/>
    <x v="26"/>
    <x v="0"/>
    <x v="1"/>
    <n v="71503"/>
    <n v="1"/>
    <s v="LN_89"/>
    <n v="1898058"/>
    <x v="5"/>
    <n v="12.59"/>
    <x v="0"/>
    <n v="1087594.05353188"/>
    <x v="88"/>
    <n v="17615.03"/>
    <s v="On-Time"/>
    <n v="2"/>
    <n v="179"/>
    <x v="1"/>
    <n v="3"/>
    <x v="3"/>
    <x v="0"/>
  </r>
  <r>
    <x v="89"/>
    <x v="27"/>
    <x v="0"/>
    <x v="2"/>
    <n v="152710"/>
    <n v="0"/>
    <s v="LN_90"/>
    <n v="640504"/>
    <x v="0"/>
    <n v="10.07"/>
    <x v="1"/>
    <n v="796805.281827008"/>
    <x v="89"/>
    <n v="8061.93"/>
    <s v="Delayed"/>
    <n v="3"/>
    <n v="65"/>
    <x v="1"/>
    <n v="0"/>
    <x v="3"/>
    <x v="0"/>
  </r>
  <r>
    <x v="90"/>
    <x v="9"/>
    <x v="1"/>
    <x v="0"/>
    <n v="21570"/>
    <n v="1"/>
    <s v="LN_91"/>
    <n v="1838380"/>
    <x v="2"/>
    <n v="9.6199999999999992"/>
    <x v="2"/>
    <n v="0"/>
    <x v="90"/>
    <n v="21239.24"/>
    <s v="On-Time"/>
    <n v="3"/>
    <n v="94"/>
    <x v="1"/>
    <n v="3"/>
    <x v="0"/>
    <x v="0"/>
  </r>
  <r>
    <x v="91"/>
    <x v="40"/>
    <x v="1"/>
    <x v="2"/>
    <n v="83785"/>
    <n v="2"/>
    <s v="LN_92"/>
    <n v="396184"/>
    <x v="0"/>
    <n v="5.59"/>
    <x v="2"/>
    <n v="0"/>
    <x v="91"/>
    <n v="2190.44"/>
    <s v="On-Time"/>
    <n v="2"/>
    <n v="42"/>
    <x v="1"/>
    <n v="0"/>
    <x v="0"/>
    <x v="0"/>
  </r>
  <r>
    <x v="92"/>
    <x v="15"/>
    <x v="0"/>
    <x v="0"/>
    <n v="24110"/>
    <n v="2"/>
    <s v="LN_93"/>
    <n v="595932"/>
    <x v="0"/>
    <n v="7.83"/>
    <x v="2"/>
    <n v="0"/>
    <x v="92"/>
    <n v="7915.74"/>
    <s v="Delayed"/>
    <n v="1"/>
    <n v="155"/>
    <x v="1"/>
    <n v="1"/>
    <x v="0"/>
    <x v="0"/>
  </r>
  <r>
    <x v="93"/>
    <x v="4"/>
    <x v="0"/>
    <x v="0"/>
    <n v="94141"/>
    <n v="1"/>
    <s v="LN_94"/>
    <n v="112021"/>
    <x v="0"/>
    <n v="5.2"/>
    <x v="2"/>
    <n v="0"/>
    <x v="93"/>
    <n v="834.55"/>
    <s v="Missed"/>
    <n v="2"/>
    <n v="155"/>
    <x v="1"/>
    <n v="3"/>
    <x v="2"/>
    <x v="0"/>
  </r>
  <r>
    <x v="94"/>
    <x v="9"/>
    <x v="0"/>
    <x v="0"/>
    <n v="27115"/>
    <n v="0"/>
    <s v="LN_95"/>
    <n v="742485"/>
    <x v="4"/>
    <n v="12.56"/>
    <x v="0"/>
    <n v="899150.04923330597"/>
    <x v="94"/>
    <n v="8600.7199999999993"/>
    <s v="On-Time"/>
    <n v="3"/>
    <n v="29"/>
    <x v="0"/>
    <n v="10"/>
    <x v="2"/>
    <x v="0"/>
  </r>
  <r>
    <x v="95"/>
    <x v="8"/>
    <x v="1"/>
    <x v="0"/>
    <n v="54062"/>
    <n v="1"/>
    <s v="LN_96"/>
    <n v="510115"/>
    <x v="2"/>
    <n v="6.38"/>
    <x v="2"/>
    <n v="0"/>
    <x v="95"/>
    <n v="6166.73"/>
    <s v="On-Time"/>
    <n v="0"/>
    <n v="0"/>
    <x v="1"/>
    <n v="1"/>
    <x v="3"/>
    <x v="0"/>
  </r>
  <r>
    <x v="96"/>
    <x v="34"/>
    <x v="1"/>
    <x v="0"/>
    <n v="37911"/>
    <n v="0"/>
    <s v="LN_97"/>
    <n v="92291"/>
    <x v="5"/>
    <n v="16.350000000000001"/>
    <x v="1"/>
    <n v="67787.691294019794"/>
    <x v="96"/>
    <n v="2980.07"/>
    <s v="On-Time"/>
    <n v="0"/>
    <n v="0"/>
    <x v="0"/>
    <n v="1"/>
    <x v="3"/>
    <x v="0"/>
  </r>
  <r>
    <x v="97"/>
    <x v="4"/>
    <x v="0"/>
    <x v="1"/>
    <n v="119061"/>
    <n v="1"/>
    <s v="LN_98"/>
    <n v="478276"/>
    <x v="5"/>
    <n v="11.8"/>
    <x v="2"/>
    <n v="0"/>
    <x v="97"/>
    <n v="16432.87"/>
    <s v="Missed"/>
    <n v="1"/>
    <n v="41"/>
    <x v="1"/>
    <n v="3"/>
    <x v="1"/>
    <x v="0"/>
  </r>
  <r>
    <x v="98"/>
    <x v="33"/>
    <x v="1"/>
    <x v="1"/>
    <n v="47556"/>
    <n v="2"/>
    <s v="LN_99"/>
    <n v="444754"/>
    <x v="3"/>
    <n v="14.1"/>
    <x v="2"/>
    <n v="0"/>
    <x v="98"/>
    <n v="2756.99"/>
    <s v="Delayed"/>
    <n v="1"/>
    <n v="79"/>
    <x v="1"/>
    <n v="2"/>
    <x v="2"/>
    <x v="0"/>
  </r>
  <r>
    <x v="99"/>
    <x v="33"/>
    <x v="0"/>
    <x v="2"/>
    <n v="224203"/>
    <n v="3"/>
    <s v="LN_100"/>
    <n v="1003680"/>
    <x v="4"/>
    <n v="10.34"/>
    <x v="0"/>
    <n v="1253976.7315056999"/>
    <x v="99"/>
    <n v="3403.05"/>
    <s v="On-Time"/>
    <n v="1"/>
    <n v="27"/>
    <x v="1"/>
    <n v="2"/>
    <x v="3"/>
    <x v="0"/>
  </r>
  <r>
    <x v="100"/>
    <x v="18"/>
    <x v="0"/>
    <x v="0"/>
    <n v="143335"/>
    <n v="3"/>
    <s v="LN_101"/>
    <n v="353664"/>
    <x v="4"/>
    <n v="12.29"/>
    <x v="2"/>
    <n v="0"/>
    <x v="100"/>
    <n v="6661.15"/>
    <s v="On-Time"/>
    <n v="3"/>
    <n v="148"/>
    <x v="1"/>
    <n v="3"/>
    <x v="0"/>
    <x v="0"/>
  </r>
  <r>
    <x v="101"/>
    <x v="41"/>
    <x v="0"/>
    <x v="1"/>
    <n v="16969"/>
    <n v="0"/>
    <s v="LN_102"/>
    <n v="75675"/>
    <x v="0"/>
    <n v="17.25"/>
    <x v="0"/>
    <n v="107295.108828105"/>
    <x v="101"/>
    <n v="566.37"/>
    <s v="On-Time"/>
    <n v="0"/>
    <n v="0"/>
    <x v="2"/>
    <n v="10"/>
    <x v="0"/>
    <x v="1"/>
  </r>
  <r>
    <x v="102"/>
    <x v="22"/>
    <x v="0"/>
    <x v="0"/>
    <n v="58753"/>
    <n v="0"/>
    <s v="LN_103"/>
    <n v="723647"/>
    <x v="3"/>
    <n v="6.08"/>
    <x v="0"/>
    <n v="439998.33100190898"/>
    <x v="102"/>
    <n v="7218.21"/>
    <s v="Delayed"/>
    <n v="3"/>
    <n v="6"/>
    <x v="0"/>
    <n v="1"/>
    <x v="2"/>
    <x v="0"/>
  </r>
  <r>
    <x v="103"/>
    <x v="0"/>
    <x v="1"/>
    <x v="0"/>
    <n v="228883"/>
    <n v="0"/>
    <s v="LN_104"/>
    <n v="312318"/>
    <x v="4"/>
    <n v="8.3000000000000007"/>
    <x v="2"/>
    <n v="0"/>
    <x v="103"/>
    <n v="4894.46"/>
    <s v="Delayed"/>
    <n v="3"/>
    <n v="79"/>
    <x v="2"/>
    <n v="5"/>
    <x v="0"/>
    <x v="1"/>
  </r>
  <r>
    <x v="104"/>
    <x v="39"/>
    <x v="1"/>
    <x v="0"/>
    <n v="150542"/>
    <n v="2"/>
    <s v="LN_105"/>
    <n v="1190844"/>
    <x v="1"/>
    <n v="15.14"/>
    <x v="2"/>
    <n v="0"/>
    <x v="104"/>
    <n v="84626.74"/>
    <s v="Delayed"/>
    <n v="3"/>
    <n v="147"/>
    <x v="2"/>
    <n v="10"/>
    <x v="1"/>
    <x v="0"/>
  </r>
  <r>
    <x v="105"/>
    <x v="23"/>
    <x v="0"/>
    <x v="0"/>
    <n v="136863"/>
    <n v="1"/>
    <s v="LN_106"/>
    <n v="1395718"/>
    <x v="3"/>
    <n v="6.28"/>
    <x v="2"/>
    <n v="0"/>
    <x v="105"/>
    <n v="33971.800000000003"/>
    <s v="Missed"/>
    <n v="8"/>
    <n v="173"/>
    <x v="0"/>
    <n v="8"/>
    <x v="3"/>
    <x v="0"/>
  </r>
  <r>
    <x v="106"/>
    <x v="26"/>
    <x v="1"/>
    <x v="1"/>
    <n v="25225"/>
    <n v="2"/>
    <s v="LN_107"/>
    <n v="758672"/>
    <x v="4"/>
    <n v="5.98"/>
    <x v="2"/>
    <n v="0"/>
    <x v="106"/>
    <n v="6075.66"/>
    <s v="On-Time"/>
    <n v="2"/>
    <n v="96"/>
    <x v="1"/>
    <n v="3"/>
    <x v="3"/>
    <x v="0"/>
  </r>
  <r>
    <x v="107"/>
    <x v="27"/>
    <x v="1"/>
    <x v="0"/>
    <n v="138008"/>
    <n v="3"/>
    <s v="LN_108"/>
    <n v="679698"/>
    <x v="1"/>
    <n v="9.6999999999999993"/>
    <x v="2"/>
    <n v="0"/>
    <x v="107"/>
    <n v="49107.68"/>
    <s v="On-Time"/>
    <n v="0"/>
    <n v="0"/>
    <x v="1"/>
    <n v="2"/>
    <x v="3"/>
    <x v="0"/>
  </r>
  <r>
    <x v="108"/>
    <x v="4"/>
    <x v="1"/>
    <x v="0"/>
    <n v="169268"/>
    <n v="0"/>
    <s v="LN_109"/>
    <n v="387369"/>
    <x v="3"/>
    <n v="6.2"/>
    <x v="2"/>
    <n v="0"/>
    <x v="108"/>
    <n v="1472.44"/>
    <s v="On-Time"/>
    <n v="0"/>
    <n v="0"/>
    <x v="2"/>
    <n v="10"/>
    <x v="2"/>
    <x v="0"/>
  </r>
  <r>
    <x v="109"/>
    <x v="19"/>
    <x v="0"/>
    <x v="0"/>
    <n v="120823"/>
    <n v="1"/>
    <s v="LN_110"/>
    <n v="1929822"/>
    <x v="5"/>
    <n v="12.61"/>
    <x v="2"/>
    <n v="0"/>
    <x v="109"/>
    <n v="11634.84"/>
    <s v="On-Time"/>
    <n v="2"/>
    <n v="101"/>
    <x v="0"/>
    <n v="7"/>
    <x v="0"/>
    <x v="0"/>
  </r>
  <r>
    <x v="110"/>
    <x v="36"/>
    <x v="0"/>
    <x v="0"/>
    <n v="28669"/>
    <n v="3"/>
    <s v="LN_111"/>
    <n v="1445811"/>
    <x v="1"/>
    <n v="7.94"/>
    <x v="0"/>
    <n v="1059254.11078262"/>
    <x v="110"/>
    <n v="79660.240000000005"/>
    <s v="On-Time"/>
    <n v="2"/>
    <n v="50"/>
    <x v="1"/>
    <n v="0"/>
    <x v="1"/>
    <x v="0"/>
  </r>
  <r>
    <x v="111"/>
    <x v="18"/>
    <x v="0"/>
    <x v="0"/>
    <n v="183452"/>
    <n v="3"/>
    <s v="LN_112"/>
    <n v="362863"/>
    <x v="4"/>
    <n v="16.64"/>
    <x v="0"/>
    <n v="453673.38252490602"/>
    <x v="111"/>
    <n v="1185.32"/>
    <s v="On-Time"/>
    <n v="0"/>
    <n v="0"/>
    <x v="0"/>
    <n v="9"/>
    <x v="2"/>
    <x v="0"/>
  </r>
  <r>
    <x v="112"/>
    <x v="7"/>
    <x v="0"/>
    <x v="2"/>
    <n v="139398"/>
    <n v="3"/>
    <s v="LN_113"/>
    <n v="179887"/>
    <x v="5"/>
    <n v="15.19"/>
    <x v="0"/>
    <n v="139323.68197716799"/>
    <x v="112"/>
    <n v="2939.27"/>
    <s v="Delayed"/>
    <n v="2"/>
    <n v="19"/>
    <x v="1"/>
    <n v="0"/>
    <x v="3"/>
    <x v="0"/>
  </r>
  <r>
    <x v="113"/>
    <x v="9"/>
    <x v="0"/>
    <x v="0"/>
    <n v="125677"/>
    <n v="2"/>
    <s v="LN_114"/>
    <n v="346063"/>
    <x v="0"/>
    <n v="14.1"/>
    <x v="2"/>
    <n v="0"/>
    <x v="113"/>
    <n v="4069.01"/>
    <s v="Delayed"/>
    <n v="3"/>
    <n v="151"/>
    <x v="1"/>
    <n v="1"/>
    <x v="1"/>
    <x v="0"/>
  </r>
  <r>
    <x v="114"/>
    <x v="25"/>
    <x v="1"/>
    <x v="0"/>
    <n v="63320"/>
    <n v="0"/>
    <s v="LN_115"/>
    <n v="1433875"/>
    <x v="0"/>
    <n v="13.02"/>
    <x v="2"/>
    <n v="0"/>
    <x v="114"/>
    <n v="9643.77"/>
    <s v="On-Time"/>
    <n v="1"/>
    <n v="176"/>
    <x v="1"/>
    <n v="2"/>
    <x v="3"/>
    <x v="0"/>
  </r>
  <r>
    <x v="115"/>
    <x v="33"/>
    <x v="0"/>
    <x v="0"/>
    <n v="193486"/>
    <n v="3"/>
    <s v="LN_116"/>
    <n v="383713"/>
    <x v="4"/>
    <n v="16.23"/>
    <x v="1"/>
    <n v="431548.18756432802"/>
    <x v="115"/>
    <n v="2091.5500000000002"/>
    <s v="On-Time"/>
    <n v="3"/>
    <n v="160"/>
    <x v="0"/>
    <n v="3"/>
    <x v="3"/>
    <x v="0"/>
  </r>
  <r>
    <x v="116"/>
    <x v="15"/>
    <x v="0"/>
    <x v="1"/>
    <n v="249614"/>
    <n v="0"/>
    <s v="LN_117"/>
    <n v="1926336"/>
    <x v="2"/>
    <n v="7.9"/>
    <x v="0"/>
    <n v="1119517.56749653"/>
    <x v="116"/>
    <n v="9450.16"/>
    <s v="On-Time"/>
    <n v="0"/>
    <n v="0"/>
    <x v="0"/>
    <n v="1"/>
    <x v="2"/>
    <x v="0"/>
  </r>
  <r>
    <x v="117"/>
    <x v="11"/>
    <x v="0"/>
    <x v="2"/>
    <n v="161649"/>
    <n v="2"/>
    <s v="LN_118"/>
    <n v="1300130"/>
    <x v="4"/>
    <n v="16.350000000000001"/>
    <x v="1"/>
    <n v="1237987.00915688"/>
    <x v="117"/>
    <n v="13863.12"/>
    <s v="Delayed"/>
    <n v="2"/>
    <n v="62"/>
    <x v="1"/>
    <n v="3"/>
    <x v="3"/>
    <x v="0"/>
  </r>
  <r>
    <x v="118"/>
    <x v="13"/>
    <x v="0"/>
    <x v="1"/>
    <n v="140354"/>
    <n v="3"/>
    <s v="LN_119"/>
    <n v="1909626"/>
    <x v="4"/>
    <n v="15.26"/>
    <x v="2"/>
    <n v="0"/>
    <x v="118"/>
    <n v="20999.81"/>
    <s v="Delayed"/>
    <n v="1"/>
    <n v="26"/>
    <x v="1"/>
    <n v="0"/>
    <x v="1"/>
    <x v="0"/>
  </r>
  <r>
    <x v="119"/>
    <x v="21"/>
    <x v="0"/>
    <x v="1"/>
    <n v="103009"/>
    <n v="2"/>
    <s v="LN_120"/>
    <n v="608963"/>
    <x v="2"/>
    <n v="14.73"/>
    <x v="0"/>
    <n v="754560.82961109502"/>
    <x v="119"/>
    <n v="6806.01"/>
    <s v="On-Time"/>
    <n v="0"/>
    <n v="0"/>
    <x v="1"/>
    <n v="0"/>
    <x v="3"/>
    <x v="0"/>
  </r>
  <r>
    <x v="120"/>
    <x v="33"/>
    <x v="0"/>
    <x v="0"/>
    <n v="201481"/>
    <n v="2"/>
    <s v="LN_121"/>
    <n v="1593586"/>
    <x v="5"/>
    <n v="12.3"/>
    <x v="0"/>
    <n v="1890812.0084385199"/>
    <x v="120"/>
    <n v="51468.7"/>
    <s v="On-Time"/>
    <n v="2"/>
    <n v="178"/>
    <x v="0"/>
    <n v="7"/>
    <x v="0"/>
    <x v="0"/>
  </r>
  <r>
    <x v="121"/>
    <x v="40"/>
    <x v="0"/>
    <x v="0"/>
    <n v="43625"/>
    <n v="0"/>
    <s v="LN_122"/>
    <n v="855351"/>
    <x v="2"/>
    <n v="8.1999999999999993"/>
    <x v="2"/>
    <n v="0"/>
    <x v="121"/>
    <n v="6072.23"/>
    <s v="On-Time"/>
    <n v="1"/>
    <n v="77"/>
    <x v="1"/>
    <n v="1"/>
    <x v="3"/>
    <x v="0"/>
  </r>
  <r>
    <x v="122"/>
    <x v="33"/>
    <x v="0"/>
    <x v="2"/>
    <n v="227112"/>
    <n v="3"/>
    <s v="LN_123"/>
    <n v="840605"/>
    <x v="1"/>
    <n v="10.51"/>
    <x v="0"/>
    <n v="1105456.18318859"/>
    <x v="122"/>
    <n v="60320.46"/>
    <s v="On-Time"/>
    <n v="1"/>
    <n v="175"/>
    <x v="1"/>
    <n v="2"/>
    <x v="2"/>
    <x v="0"/>
  </r>
  <r>
    <x v="123"/>
    <x v="25"/>
    <x v="0"/>
    <x v="1"/>
    <n v="39089"/>
    <n v="2"/>
    <s v="LN_124"/>
    <n v="421513"/>
    <x v="3"/>
    <n v="15.32"/>
    <x v="0"/>
    <n v="580613.97824088205"/>
    <x v="123"/>
    <n v="2374.6799999999998"/>
    <s v="On-Time"/>
    <n v="2"/>
    <n v="153"/>
    <x v="1"/>
    <n v="0"/>
    <x v="1"/>
    <x v="0"/>
  </r>
  <r>
    <x v="124"/>
    <x v="30"/>
    <x v="1"/>
    <x v="1"/>
    <n v="51487"/>
    <n v="3"/>
    <s v="LN_125"/>
    <n v="862832"/>
    <x v="1"/>
    <n v="5.41"/>
    <x v="2"/>
    <n v="0"/>
    <x v="124"/>
    <n v="23714.79"/>
    <s v="Delayed"/>
    <n v="1"/>
    <n v="30"/>
    <x v="1"/>
    <n v="0"/>
    <x v="2"/>
    <x v="0"/>
  </r>
  <r>
    <x v="125"/>
    <x v="12"/>
    <x v="0"/>
    <x v="1"/>
    <n v="211910"/>
    <n v="0"/>
    <s v="LN_126"/>
    <n v="231517"/>
    <x v="0"/>
    <n v="15.17"/>
    <x v="2"/>
    <n v="0"/>
    <x v="125"/>
    <n v="3261.22"/>
    <s v="Delayed"/>
    <n v="0"/>
    <n v="0"/>
    <x v="1"/>
    <n v="2"/>
    <x v="0"/>
    <x v="0"/>
  </r>
  <r>
    <x v="126"/>
    <x v="40"/>
    <x v="0"/>
    <x v="1"/>
    <n v="243071"/>
    <n v="2"/>
    <s v="LN_127"/>
    <n v="120305"/>
    <x v="4"/>
    <n v="8.1199999999999992"/>
    <x v="1"/>
    <n v="153170.341118935"/>
    <x v="126"/>
    <n v="1103.28"/>
    <s v="On-Time"/>
    <n v="2"/>
    <n v="144"/>
    <x v="0"/>
    <n v="0"/>
    <x v="3"/>
    <x v="0"/>
  </r>
  <r>
    <x v="127"/>
    <x v="41"/>
    <x v="0"/>
    <x v="1"/>
    <n v="125448"/>
    <n v="0"/>
    <s v="LN_128"/>
    <n v="742924"/>
    <x v="0"/>
    <n v="6.88"/>
    <x v="3"/>
    <n v="870400.65233515901"/>
    <x v="127"/>
    <n v="12172.36"/>
    <s v="Delayed"/>
    <n v="3"/>
    <n v="10"/>
    <x v="1"/>
    <n v="2"/>
    <x v="2"/>
    <x v="0"/>
  </r>
  <r>
    <x v="128"/>
    <x v="31"/>
    <x v="1"/>
    <x v="2"/>
    <n v="240867"/>
    <n v="3"/>
    <s v="LN_129"/>
    <n v="1537606"/>
    <x v="3"/>
    <n v="6.5"/>
    <x v="2"/>
    <n v="0"/>
    <x v="128"/>
    <n v="22193.97"/>
    <s v="Missed"/>
    <n v="0"/>
    <n v="0"/>
    <x v="0"/>
    <n v="5"/>
    <x v="2"/>
    <x v="0"/>
  </r>
  <r>
    <x v="129"/>
    <x v="30"/>
    <x v="0"/>
    <x v="2"/>
    <n v="65138"/>
    <n v="3"/>
    <s v="LN_130"/>
    <n v="522963"/>
    <x v="3"/>
    <n v="5.35"/>
    <x v="2"/>
    <n v="0"/>
    <x v="129"/>
    <n v="11806.5"/>
    <s v="On-Time"/>
    <n v="0"/>
    <n v="0"/>
    <x v="1"/>
    <n v="2"/>
    <x v="2"/>
    <x v="0"/>
  </r>
  <r>
    <x v="130"/>
    <x v="0"/>
    <x v="0"/>
    <x v="1"/>
    <n v="188895"/>
    <n v="0"/>
    <s v="LN_131"/>
    <n v="1711655"/>
    <x v="1"/>
    <n v="11.81"/>
    <x v="2"/>
    <n v="0"/>
    <x v="130"/>
    <n v="65909.61"/>
    <s v="On-Time"/>
    <n v="2"/>
    <n v="88"/>
    <x v="1"/>
    <n v="3"/>
    <x v="2"/>
    <x v="0"/>
  </r>
  <r>
    <x v="131"/>
    <x v="21"/>
    <x v="1"/>
    <x v="1"/>
    <n v="183280"/>
    <n v="1"/>
    <s v="LN_132"/>
    <n v="1257610"/>
    <x v="3"/>
    <n v="7.84"/>
    <x v="0"/>
    <n v="668699.52293275902"/>
    <x v="131"/>
    <n v="16854.009999999998"/>
    <s v="Missed"/>
    <n v="12"/>
    <n v="136"/>
    <x v="1"/>
    <n v="1"/>
    <x v="0"/>
    <x v="0"/>
  </r>
  <r>
    <x v="132"/>
    <x v="27"/>
    <x v="0"/>
    <x v="0"/>
    <n v="69061"/>
    <n v="2"/>
    <s v="LN_133"/>
    <n v="528108"/>
    <x v="2"/>
    <n v="17.86"/>
    <x v="2"/>
    <n v="0"/>
    <x v="132"/>
    <n v="3261.03"/>
    <s v="On-Time"/>
    <n v="2"/>
    <n v="109"/>
    <x v="0"/>
    <n v="3"/>
    <x v="0"/>
    <x v="0"/>
  </r>
  <r>
    <x v="133"/>
    <x v="2"/>
    <x v="1"/>
    <x v="1"/>
    <n v="176731"/>
    <n v="3"/>
    <s v="LN_134"/>
    <n v="1053346"/>
    <x v="3"/>
    <n v="12.47"/>
    <x v="3"/>
    <n v="1090178.00556914"/>
    <x v="133"/>
    <n v="21861.85"/>
    <s v="Missed"/>
    <n v="3"/>
    <n v="169"/>
    <x v="2"/>
    <n v="8"/>
    <x v="3"/>
    <x v="1"/>
  </r>
  <r>
    <x v="134"/>
    <x v="2"/>
    <x v="0"/>
    <x v="0"/>
    <n v="116376"/>
    <n v="3"/>
    <s v="LN_135"/>
    <n v="644821"/>
    <x v="0"/>
    <n v="6.79"/>
    <x v="2"/>
    <n v="0"/>
    <x v="134"/>
    <n v="6370.47"/>
    <s v="Missed"/>
    <n v="0"/>
    <n v="0"/>
    <x v="2"/>
    <n v="6"/>
    <x v="3"/>
    <x v="0"/>
  </r>
  <r>
    <x v="135"/>
    <x v="31"/>
    <x v="0"/>
    <x v="0"/>
    <n v="177962"/>
    <n v="2"/>
    <s v="LN_136"/>
    <n v="237256"/>
    <x v="0"/>
    <n v="13.95"/>
    <x v="2"/>
    <n v="0"/>
    <x v="135"/>
    <n v="3754.18"/>
    <s v="Delayed"/>
    <n v="1"/>
    <n v="94"/>
    <x v="1"/>
    <n v="1"/>
    <x v="1"/>
    <x v="0"/>
  </r>
  <r>
    <x v="136"/>
    <x v="22"/>
    <x v="0"/>
    <x v="2"/>
    <n v="94134"/>
    <n v="0"/>
    <s v="LN_137"/>
    <n v="526128"/>
    <x v="3"/>
    <n v="16.670000000000002"/>
    <x v="0"/>
    <n v="282897.82861400198"/>
    <x v="136"/>
    <n v="4761.4799999999996"/>
    <s v="Delayed"/>
    <n v="0"/>
    <n v="0"/>
    <x v="1"/>
    <n v="1"/>
    <x v="0"/>
    <x v="0"/>
  </r>
  <r>
    <x v="137"/>
    <x v="42"/>
    <x v="1"/>
    <x v="0"/>
    <n v="62055"/>
    <n v="0"/>
    <s v="LN_138"/>
    <n v="1073920"/>
    <x v="4"/>
    <n v="14.69"/>
    <x v="1"/>
    <n v="1404760.19015724"/>
    <x v="137"/>
    <n v="4262.26"/>
    <s v="Delayed"/>
    <n v="0"/>
    <n v="0"/>
    <x v="0"/>
    <n v="2"/>
    <x v="2"/>
    <x v="0"/>
  </r>
  <r>
    <x v="138"/>
    <x v="43"/>
    <x v="0"/>
    <x v="0"/>
    <n v="34508"/>
    <n v="0"/>
    <s v="LN_139"/>
    <n v="940023"/>
    <x v="1"/>
    <n v="5.99"/>
    <x v="0"/>
    <n v="771499.92965642305"/>
    <x v="138"/>
    <n v="35559.14"/>
    <s v="Delayed"/>
    <n v="3"/>
    <n v="17"/>
    <x v="0"/>
    <n v="1"/>
    <x v="2"/>
    <x v="0"/>
  </r>
  <r>
    <x v="139"/>
    <x v="0"/>
    <x v="1"/>
    <x v="0"/>
    <n v="188359"/>
    <n v="1"/>
    <s v="LN_140"/>
    <n v="1764514"/>
    <x v="5"/>
    <n v="16.649999999999999"/>
    <x v="0"/>
    <n v="1874671.5046423101"/>
    <x v="139"/>
    <n v="48159.57"/>
    <s v="On-Time"/>
    <n v="0"/>
    <n v="0"/>
    <x v="1"/>
    <n v="3"/>
    <x v="1"/>
    <x v="0"/>
  </r>
  <r>
    <x v="140"/>
    <x v="43"/>
    <x v="0"/>
    <x v="0"/>
    <n v="224988"/>
    <n v="1"/>
    <s v="LN_141"/>
    <n v="1753924"/>
    <x v="1"/>
    <n v="15.32"/>
    <x v="3"/>
    <n v="1367087.8311940001"/>
    <x v="140"/>
    <n v="127849.23"/>
    <s v="On-Time"/>
    <n v="1"/>
    <n v="129"/>
    <x v="0"/>
    <n v="9"/>
    <x v="2"/>
    <x v="0"/>
  </r>
  <r>
    <x v="141"/>
    <x v="29"/>
    <x v="1"/>
    <x v="1"/>
    <n v="173056"/>
    <n v="3"/>
    <s v="LN_142"/>
    <n v="1772560"/>
    <x v="4"/>
    <n v="7.06"/>
    <x v="2"/>
    <n v="0"/>
    <x v="141"/>
    <n v="15198.86"/>
    <s v="On-Time"/>
    <n v="1"/>
    <n v="165"/>
    <x v="1"/>
    <n v="1"/>
    <x v="1"/>
    <x v="0"/>
  </r>
  <r>
    <x v="142"/>
    <x v="16"/>
    <x v="0"/>
    <x v="0"/>
    <n v="125169"/>
    <n v="0"/>
    <s v="LN_143"/>
    <n v="1083668"/>
    <x v="3"/>
    <n v="5.67"/>
    <x v="1"/>
    <n v="1389804.3664603001"/>
    <x v="142"/>
    <n v="20722.38"/>
    <s v="Delayed"/>
    <n v="3"/>
    <n v="87"/>
    <x v="1"/>
    <n v="3"/>
    <x v="3"/>
    <x v="0"/>
  </r>
  <r>
    <x v="143"/>
    <x v="25"/>
    <x v="1"/>
    <x v="0"/>
    <n v="23125"/>
    <n v="2"/>
    <s v="LN_144"/>
    <n v="875626"/>
    <x v="4"/>
    <n v="12.25"/>
    <x v="2"/>
    <n v="0"/>
    <x v="143"/>
    <n v="7573.78"/>
    <s v="On-Time"/>
    <n v="1"/>
    <n v="3"/>
    <x v="1"/>
    <n v="1"/>
    <x v="0"/>
    <x v="0"/>
  </r>
  <r>
    <x v="144"/>
    <x v="7"/>
    <x v="0"/>
    <x v="0"/>
    <n v="51059"/>
    <n v="3"/>
    <s v="LN_145"/>
    <n v="1470623"/>
    <x v="4"/>
    <n v="7.03"/>
    <x v="1"/>
    <n v="2039022.5052376899"/>
    <x v="144"/>
    <n v="20083.12"/>
    <s v="On-Time"/>
    <n v="2"/>
    <n v="107"/>
    <x v="1"/>
    <n v="1"/>
    <x v="1"/>
    <x v="0"/>
  </r>
  <r>
    <x v="145"/>
    <x v="0"/>
    <x v="0"/>
    <x v="1"/>
    <n v="215641"/>
    <n v="2"/>
    <s v="LN_146"/>
    <n v="1492181"/>
    <x v="3"/>
    <n v="15.85"/>
    <x v="0"/>
    <n v="1340937.2556573399"/>
    <x v="145"/>
    <n v="37152.29"/>
    <s v="On-Time"/>
    <n v="3"/>
    <n v="125"/>
    <x v="1"/>
    <n v="3"/>
    <x v="2"/>
    <x v="0"/>
  </r>
  <r>
    <x v="146"/>
    <x v="2"/>
    <x v="0"/>
    <x v="1"/>
    <n v="118409"/>
    <n v="3"/>
    <s v="LN_147"/>
    <n v="1460023"/>
    <x v="0"/>
    <n v="9.66"/>
    <x v="2"/>
    <n v="0"/>
    <x v="146"/>
    <n v="7500.18"/>
    <s v="Delayed"/>
    <n v="1"/>
    <n v="27"/>
    <x v="1"/>
    <n v="2"/>
    <x v="1"/>
    <x v="0"/>
  </r>
  <r>
    <x v="147"/>
    <x v="3"/>
    <x v="0"/>
    <x v="0"/>
    <n v="163159"/>
    <n v="1"/>
    <s v="LN_148"/>
    <n v="292188"/>
    <x v="0"/>
    <n v="16.87"/>
    <x v="1"/>
    <n v="398229.56831518898"/>
    <x v="147"/>
    <n v="2258.6999999999998"/>
    <s v="Missed"/>
    <n v="8"/>
    <n v="110"/>
    <x v="1"/>
    <n v="3"/>
    <x v="3"/>
    <x v="0"/>
  </r>
  <r>
    <x v="148"/>
    <x v="1"/>
    <x v="0"/>
    <x v="0"/>
    <n v="20704"/>
    <n v="3"/>
    <s v="LN_149"/>
    <n v="426047"/>
    <x v="1"/>
    <n v="12.35"/>
    <x v="2"/>
    <n v="0"/>
    <x v="148"/>
    <n v="35288.720000000001"/>
    <s v="Missed"/>
    <n v="12"/>
    <n v="92"/>
    <x v="1"/>
    <n v="2"/>
    <x v="2"/>
    <x v="0"/>
  </r>
  <r>
    <x v="149"/>
    <x v="10"/>
    <x v="0"/>
    <x v="0"/>
    <n v="206648"/>
    <n v="1"/>
    <s v="LN_150"/>
    <n v="903823"/>
    <x v="5"/>
    <n v="7.37"/>
    <x v="2"/>
    <n v="0"/>
    <x v="149"/>
    <n v="33204.25"/>
    <s v="On-Time"/>
    <n v="1"/>
    <n v="162"/>
    <x v="1"/>
    <n v="0"/>
    <x v="3"/>
    <x v="0"/>
  </r>
  <r>
    <x v="150"/>
    <x v="42"/>
    <x v="1"/>
    <x v="1"/>
    <n v="219456"/>
    <n v="3"/>
    <s v="LN_151"/>
    <n v="287501"/>
    <x v="0"/>
    <n v="6.81"/>
    <x v="0"/>
    <n v="220534.831718703"/>
    <x v="150"/>
    <n v="2914.19"/>
    <s v="Delayed"/>
    <n v="2"/>
    <n v="117"/>
    <x v="0"/>
    <n v="7"/>
    <x v="3"/>
    <x v="0"/>
  </r>
  <r>
    <x v="151"/>
    <x v="43"/>
    <x v="0"/>
    <x v="1"/>
    <n v="233200"/>
    <n v="0"/>
    <s v="LN_152"/>
    <n v="1418722"/>
    <x v="3"/>
    <n v="12.49"/>
    <x v="2"/>
    <n v="0"/>
    <x v="151"/>
    <n v="22264.67"/>
    <s v="Delayed"/>
    <n v="3"/>
    <n v="39"/>
    <x v="1"/>
    <n v="2"/>
    <x v="1"/>
    <x v="0"/>
  </r>
  <r>
    <x v="152"/>
    <x v="26"/>
    <x v="1"/>
    <x v="0"/>
    <n v="126279"/>
    <n v="2"/>
    <s v="LN_153"/>
    <n v="347675"/>
    <x v="0"/>
    <n v="14.9"/>
    <x v="0"/>
    <n v="359725.736430283"/>
    <x v="152"/>
    <n v="2063.6799999999998"/>
    <s v="On-Time"/>
    <n v="2"/>
    <n v="111"/>
    <x v="1"/>
    <n v="1"/>
    <x v="3"/>
    <x v="0"/>
  </r>
  <r>
    <x v="153"/>
    <x v="13"/>
    <x v="1"/>
    <x v="0"/>
    <n v="218532"/>
    <n v="0"/>
    <s v="LN_154"/>
    <n v="758175"/>
    <x v="3"/>
    <n v="15.16"/>
    <x v="2"/>
    <n v="0"/>
    <x v="153"/>
    <n v="11909.42"/>
    <s v="On-Time"/>
    <n v="3"/>
    <n v="45"/>
    <x v="1"/>
    <n v="0"/>
    <x v="2"/>
    <x v="0"/>
  </r>
  <r>
    <x v="154"/>
    <x v="23"/>
    <x v="0"/>
    <x v="0"/>
    <n v="173280"/>
    <n v="3"/>
    <s v="LN_155"/>
    <n v="1627850"/>
    <x v="3"/>
    <n v="8.58"/>
    <x v="2"/>
    <n v="0"/>
    <x v="154"/>
    <n v="39039.61"/>
    <s v="On-Time"/>
    <n v="3"/>
    <n v="133"/>
    <x v="2"/>
    <n v="7"/>
    <x v="3"/>
    <x v="0"/>
  </r>
  <r>
    <x v="155"/>
    <x v="14"/>
    <x v="1"/>
    <x v="1"/>
    <n v="133516"/>
    <n v="3"/>
    <s v="LN_156"/>
    <n v="1917306"/>
    <x v="5"/>
    <n v="7.66"/>
    <x v="2"/>
    <n v="0"/>
    <x v="155"/>
    <n v="57252.12"/>
    <s v="Missed"/>
    <n v="1"/>
    <n v="166"/>
    <x v="1"/>
    <n v="2"/>
    <x v="3"/>
    <x v="0"/>
  </r>
  <r>
    <x v="156"/>
    <x v="22"/>
    <x v="1"/>
    <x v="0"/>
    <n v="231222"/>
    <n v="3"/>
    <s v="LN_157"/>
    <n v="313625"/>
    <x v="3"/>
    <n v="5.22"/>
    <x v="2"/>
    <n v="0"/>
    <x v="156"/>
    <n v="3145.31"/>
    <s v="On-Time"/>
    <n v="1"/>
    <n v="69"/>
    <x v="1"/>
    <n v="2"/>
    <x v="1"/>
    <x v="0"/>
  </r>
  <r>
    <x v="157"/>
    <x v="35"/>
    <x v="0"/>
    <x v="0"/>
    <n v="212096"/>
    <n v="1"/>
    <s v="LN_158"/>
    <n v="892840"/>
    <x v="4"/>
    <n v="13.83"/>
    <x v="0"/>
    <n v="1213156.5550171901"/>
    <x v="157"/>
    <n v="5232.74"/>
    <s v="On-Time"/>
    <n v="1"/>
    <n v="157"/>
    <x v="1"/>
    <n v="3"/>
    <x v="3"/>
    <x v="0"/>
  </r>
  <r>
    <x v="158"/>
    <x v="23"/>
    <x v="0"/>
    <x v="0"/>
    <n v="185954"/>
    <n v="2"/>
    <s v="LN_159"/>
    <n v="250339"/>
    <x v="3"/>
    <n v="6"/>
    <x v="1"/>
    <n v="206750.30942909399"/>
    <x v="158"/>
    <n v="2355.19"/>
    <s v="Delayed"/>
    <n v="0"/>
    <n v="0"/>
    <x v="0"/>
    <n v="4"/>
    <x v="0"/>
    <x v="0"/>
  </r>
  <r>
    <x v="159"/>
    <x v="23"/>
    <x v="0"/>
    <x v="0"/>
    <n v="171995"/>
    <n v="2"/>
    <s v="LN_160"/>
    <n v="1744814"/>
    <x v="0"/>
    <n v="10.47"/>
    <x v="3"/>
    <n v="2537033.30069996"/>
    <x v="159"/>
    <n v="7351"/>
    <s v="On-Time"/>
    <n v="2"/>
    <n v="137"/>
    <x v="1"/>
    <n v="3"/>
    <x v="1"/>
    <x v="0"/>
  </r>
  <r>
    <x v="160"/>
    <x v="15"/>
    <x v="0"/>
    <x v="1"/>
    <n v="129044"/>
    <n v="3"/>
    <s v="LN_161"/>
    <n v="984339"/>
    <x v="2"/>
    <n v="12.82"/>
    <x v="1"/>
    <n v="612140.24690398504"/>
    <x v="160"/>
    <n v="2543.92"/>
    <s v="On-Time"/>
    <n v="0"/>
    <n v="0"/>
    <x v="1"/>
    <n v="2"/>
    <x v="1"/>
    <x v="0"/>
  </r>
  <r>
    <x v="161"/>
    <x v="15"/>
    <x v="0"/>
    <x v="0"/>
    <n v="247549"/>
    <n v="3"/>
    <s v="LN_162"/>
    <n v="175355"/>
    <x v="4"/>
    <n v="17.18"/>
    <x v="2"/>
    <n v="0"/>
    <x v="161"/>
    <n v="1743.4"/>
    <s v="Delayed"/>
    <n v="1"/>
    <n v="123"/>
    <x v="1"/>
    <n v="1"/>
    <x v="2"/>
    <x v="0"/>
  </r>
  <r>
    <x v="162"/>
    <x v="32"/>
    <x v="0"/>
    <x v="1"/>
    <n v="44165"/>
    <n v="1"/>
    <s v="LN_163"/>
    <n v="77798"/>
    <x v="0"/>
    <n v="9.0500000000000007"/>
    <x v="0"/>
    <n v="40320.763874349301"/>
    <x v="162"/>
    <n v="261.88"/>
    <s v="On-Time"/>
    <n v="1"/>
    <n v="119"/>
    <x v="1"/>
    <n v="3"/>
    <x v="2"/>
    <x v="0"/>
  </r>
  <r>
    <x v="163"/>
    <x v="16"/>
    <x v="1"/>
    <x v="1"/>
    <n v="82203"/>
    <n v="0"/>
    <s v="LN_164"/>
    <n v="665937"/>
    <x v="3"/>
    <n v="8.25"/>
    <x v="2"/>
    <n v="0"/>
    <x v="163"/>
    <n v="4711.8999999999996"/>
    <s v="Delayed"/>
    <n v="0"/>
    <n v="0"/>
    <x v="0"/>
    <n v="7"/>
    <x v="2"/>
    <x v="0"/>
  </r>
  <r>
    <x v="164"/>
    <x v="8"/>
    <x v="1"/>
    <x v="0"/>
    <n v="237821"/>
    <n v="0"/>
    <s v="LN_165"/>
    <n v="1425607"/>
    <x v="3"/>
    <n v="13.5"/>
    <x v="2"/>
    <n v="0"/>
    <x v="164"/>
    <n v="23466.77"/>
    <s v="On-Time"/>
    <n v="0"/>
    <n v="0"/>
    <x v="0"/>
    <n v="1"/>
    <x v="2"/>
    <x v="0"/>
  </r>
  <r>
    <x v="165"/>
    <x v="23"/>
    <x v="0"/>
    <x v="0"/>
    <n v="19114"/>
    <n v="2"/>
    <s v="LN_166"/>
    <n v="69477"/>
    <x v="0"/>
    <n v="13.05"/>
    <x v="0"/>
    <n v="97555.111891074994"/>
    <x v="165"/>
    <n v="287.33"/>
    <s v="Delayed"/>
    <n v="0"/>
    <n v="0"/>
    <x v="0"/>
    <n v="3"/>
    <x v="0"/>
    <x v="0"/>
  </r>
  <r>
    <x v="166"/>
    <x v="20"/>
    <x v="0"/>
    <x v="1"/>
    <n v="211037"/>
    <n v="1"/>
    <s v="LN_167"/>
    <n v="1509058"/>
    <x v="3"/>
    <n v="9.32"/>
    <x v="2"/>
    <n v="0"/>
    <x v="166"/>
    <n v="6601.78"/>
    <s v="Delayed"/>
    <n v="1"/>
    <n v="111"/>
    <x v="0"/>
    <n v="6"/>
    <x v="1"/>
    <x v="0"/>
  </r>
  <r>
    <x v="167"/>
    <x v="0"/>
    <x v="0"/>
    <x v="0"/>
    <n v="51321"/>
    <n v="3"/>
    <s v="LN_168"/>
    <n v="267400"/>
    <x v="4"/>
    <n v="17.07"/>
    <x v="2"/>
    <n v="0"/>
    <x v="167"/>
    <n v="2148.39"/>
    <s v="On-Time"/>
    <n v="0"/>
    <n v="0"/>
    <x v="1"/>
    <n v="2"/>
    <x v="3"/>
    <x v="0"/>
  </r>
  <r>
    <x v="168"/>
    <x v="18"/>
    <x v="0"/>
    <x v="0"/>
    <n v="88297"/>
    <n v="2"/>
    <s v="LN_169"/>
    <n v="1315636"/>
    <x v="5"/>
    <n v="15.98"/>
    <x v="3"/>
    <n v="748134.65653612197"/>
    <x v="168"/>
    <n v="16351.56"/>
    <s v="On-Time"/>
    <n v="0"/>
    <n v="0"/>
    <x v="1"/>
    <n v="2"/>
    <x v="2"/>
    <x v="0"/>
  </r>
  <r>
    <x v="169"/>
    <x v="40"/>
    <x v="0"/>
    <x v="2"/>
    <n v="111652"/>
    <n v="1"/>
    <s v="LN_170"/>
    <n v="439959"/>
    <x v="4"/>
    <n v="7.91"/>
    <x v="0"/>
    <n v="656370.07875986304"/>
    <x v="169"/>
    <n v="5167.45"/>
    <s v="Delayed"/>
    <n v="2"/>
    <n v="151"/>
    <x v="0"/>
    <n v="4"/>
    <x v="2"/>
    <x v="0"/>
  </r>
  <r>
    <x v="170"/>
    <x v="21"/>
    <x v="1"/>
    <x v="0"/>
    <n v="114304"/>
    <n v="0"/>
    <s v="LN_171"/>
    <n v="1609757"/>
    <x v="2"/>
    <n v="8.11"/>
    <x v="0"/>
    <n v="2336396.2583488999"/>
    <x v="170"/>
    <n v="4295.6000000000004"/>
    <s v="Delayed"/>
    <n v="0"/>
    <n v="0"/>
    <x v="1"/>
    <n v="0"/>
    <x v="2"/>
    <x v="0"/>
  </r>
  <r>
    <x v="171"/>
    <x v="42"/>
    <x v="0"/>
    <x v="0"/>
    <n v="171498"/>
    <n v="1"/>
    <s v="LN_172"/>
    <n v="1606407"/>
    <x v="2"/>
    <n v="11.66"/>
    <x v="2"/>
    <n v="0"/>
    <x v="171"/>
    <n v="17326.740000000002"/>
    <s v="Delayed"/>
    <n v="1"/>
    <n v="68"/>
    <x v="0"/>
    <n v="10"/>
    <x v="3"/>
    <x v="0"/>
  </r>
  <r>
    <x v="172"/>
    <x v="39"/>
    <x v="1"/>
    <x v="0"/>
    <n v="32772"/>
    <n v="0"/>
    <s v="LN_173"/>
    <n v="1074374"/>
    <x v="0"/>
    <n v="15.06"/>
    <x v="2"/>
    <n v="0"/>
    <x v="172"/>
    <n v="16395.13"/>
    <s v="Delayed"/>
    <n v="2"/>
    <n v="82"/>
    <x v="1"/>
    <n v="3"/>
    <x v="2"/>
    <x v="0"/>
  </r>
  <r>
    <x v="173"/>
    <x v="12"/>
    <x v="1"/>
    <x v="2"/>
    <n v="118754"/>
    <n v="1"/>
    <s v="LN_174"/>
    <n v="455105"/>
    <x v="0"/>
    <n v="5.57"/>
    <x v="1"/>
    <n v="289911.40126208001"/>
    <x v="173"/>
    <n v="5833.62"/>
    <s v="On-Time"/>
    <n v="3"/>
    <n v="62"/>
    <x v="1"/>
    <n v="2"/>
    <x v="3"/>
    <x v="0"/>
  </r>
  <r>
    <x v="174"/>
    <x v="0"/>
    <x v="0"/>
    <x v="0"/>
    <n v="18712"/>
    <n v="2"/>
    <s v="LN_175"/>
    <n v="1385055"/>
    <x v="4"/>
    <n v="14.01"/>
    <x v="2"/>
    <n v="0"/>
    <x v="174"/>
    <n v="16722.93"/>
    <s v="On-Time"/>
    <n v="1"/>
    <n v="22"/>
    <x v="0"/>
    <n v="0"/>
    <x v="1"/>
    <x v="0"/>
  </r>
  <r>
    <x v="175"/>
    <x v="35"/>
    <x v="1"/>
    <x v="0"/>
    <n v="147439"/>
    <n v="0"/>
    <s v="LN_176"/>
    <n v="1447330"/>
    <x v="4"/>
    <n v="13.43"/>
    <x v="0"/>
    <n v="1501727.3563036199"/>
    <x v="175"/>
    <n v="26371.59"/>
    <s v="Missed"/>
    <n v="8"/>
    <n v="71"/>
    <x v="0"/>
    <n v="9"/>
    <x v="1"/>
    <x v="0"/>
  </r>
  <r>
    <x v="176"/>
    <x v="4"/>
    <x v="0"/>
    <x v="0"/>
    <n v="130142"/>
    <n v="2"/>
    <s v="LN_177"/>
    <n v="323586"/>
    <x v="5"/>
    <n v="8.01"/>
    <x v="2"/>
    <n v="0"/>
    <x v="176"/>
    <n v="9780.74"/>
    <s v="On-Time"/>
    <n v="1"/>
    <n v="115"/>
    <x v="0"/>
    <n v="10"/>
    <x v="1"/>
    <x v="0"/>
  </r>
  <r>
    <x v="177"/>
    <x v="21"/>
    <x v="0"/>
    <x v="0"/>
    <n v="106736"/>
    <n v="2"/>
    <s v="LN_178"/>
    <n v="1931297"/>
    <x v="3"/>
    <n v="13.86"/>
    <x v="0"/>
    <n v="1322784.5157373999"/>
    <x v="177"/>
    <n v="5874.15"/>
    <s v="On-Time"/>
    <n v="3"/>
    <n v="62"/>
    <x v="1"/>
    <n v="0"/>
    <x v="0"/>
    <x v="0"/>
  </r>
  <r>
    <x v="178"/>
    <x v="27"/>
    <x v="0"/>
    <x v="0"/>
    <n v="66924"/>
    <n v="0"/>
    <s v="LN_179"/>
    <n v="1938755"/>
    <x v="4"/>
    <n v="17.22"/>
    <x v="2"/>
    <n v="0"/>
    <x v="178"/>
    <n v="18364.900000000001"/>
    <s v="On-Time"/>
    <n v="1"/>
    <n v="118"/>
    <x v="0"/>
    <n v="9"/>
    <x v="3"/>
    <x v="0"/>
  </r>
  <r>
    <x v="179"/>
    <x v="25"/>
    <x v="1"/>
    <x v="0"/>
    <n v="18726"/>
    <n v="0"/>
    <s v="LN_180"/>
    <n v="873759"/>
    <x v="2"/>
    <n v="5.61"/>
    <x v="1"/>
    <n v="810983.93583162501"/>
    <x v="179"/>
    <n v="10507.64"/>
    <s v="On-Time"/>
    <n v="3"/>
    <n v="145"/>
    <x v="1"/>
    <n v="3"/>
    <x v="2"/>
    <x v="0"/>
  </r>
  <r>
    <x v="180"/>
    <x v="18"/>
    <x v="1"/>
    <x v="0"/>
    <n v="104152"/>
    <n v="3"/>
    <s v="LN_181"/>
    <n v="983703"/>
    <x v="3"/>
    <n v="9.16"/>
    <x v="1"/>
    <n v="552275.58392828505"/>
    <x v="180"/>
    <n v="11238.07"/>
    <s v="On-Time"/>
    <n v="3"/>
    <n v="156"/>
    <x v="1"/>
    <n v="2"/>
    <x v="2"/>
    <x v="0"/>
  </r>
  <r>
    <x v="181"/>
    <x v="22"/>
    <x v="1"/>
    <x v="0"/>
    <n v="42723"/>
    <n v="3"/>
    <s v="LN_182"/>
    <n v="384971"/>
    <x v="4"/>
    <n v="10.7"/>
    <x v="1"/>
    <n v="278689.97248864098"/>
    <x v="181"/>
    <n v="1056.21"/>
    <s v="Missed"/>
    <n v="3"/>
    <n v="171"/>
    <x v="2"/>
    <n v="3"/>
    <x v="2"/>
    <x v="0"/>
  </r>
  <r>
    <x v="182"/>
    <x v="15"/>
    <x v="1"/>
    <x v="0"/>
    <n v="141969"/>
    <n v="3"/>
    <s v="LN_183"/>
    <n v="1729328"/>
    <x v="4"/>
    <n v="16.690000000000001"/>
    <x v="2"/>
    <n v="0"/>
    <x v="182"/>
    <n v="27797.57"/>
    <s v="On-Time"/>
    <n v="0"/>
    <n v="0"/>
    <x v="0"/>
    <n v="9"/>
    <x v="2"/>
    <x v="0"/>
  </r>
  <r>
    <x v="183"/>
    <x v="9"/>
    <x v="1"/>
    <x v="0"/>
    <n v="249182"/>
    <n v="2"/>
    <s v="LN_184"/>
    <n v="181184"/>
    <x v="4"/>
    <n v="17.510000000000002"/>
    <x v="1"/>
    <n v="156411.21834273799"/>
    <x v="183"/>
    <n v="3102.15"/>
    <s v="On-Time"/>
    <n v="0"/>
    <n v="0"/>
    <x v="1"/>
    <n v="2"/>
    <x v="0"/>
    <x v="0"/>
  </r>
  <r>
    <x v="184"/>
    <x v="2"/>
    <x v="1"/>
    <x v="0"/>
    <n v="115494"/>
    <n v="2"/>
    <s v="LN_185"/>
    <n v="1185627"/>
    <x v="0"/>
    <n v="10.77"/>
    <x v="0"/>
    <n v="1112885.81977423"/>
    <x v="184"/>
    <n v="4832.1099999999997"/>
    <s v="Missed"/>
    <n v="10"/>
    <n v="97"/>
    <x v="0"/>
    <n v="3"/>
    <x v="2"/>
    <x v="0"/>
  </r>
  <r>
    <x v="185"/>
    <x v="43"/>
    <x v="1"/>
    <x v="0"/>
    <n v="155180"/>
    <n v="3"/>
    <s v="LN_186"/>
    <n v="200653"/>
    <x v="5"/>
    <n v="14.75"/>
    <x v="2"/>
    <n v="0"/>
    <x v="185"/>
    <n v="4879.2700000000004"/>
    <s v="Missed"/>
    <n v="6"/>
    <n v="86"/>
    <x v="1"/>
    <n v="1"/>
    <x v="0"/>
    <x v="0"/>
  </r>
  <r>
    <x v="186"/>
    <x v="43"/>
    <x v="1"/>
    <x v="1"/>
    <n v="223786"/>
    <n v="2"/>
    <s v="LN_187"/>
    <n v="295300"/>
    <x v="4"/>
    <n v="11.91"/>
    <x v="0"/>
    <n v="436304.64504908602"/>
    <x v="186"/>
    <n v="1678.04"/>
    <s v="On-Time"/>
    <n v="2"/>
    <n v="7"/>
    <x v="1"/>
    <n v="2"/>
    <x v="3"/>
    <x v="0"/>
  </r>
  <r>
    <x v="187"/>
    <x v="9"/>
    <x v="0"/>
    <x v="0"/>
    <n v="50643"/>
    <n v="2"/>
    <s v="LN_188"/>
    <n v="634010"/>
    <x v="0"/>
    <n v="11.99"/>
    <x v="2"/>
    <n v="0"/>
    <x v="187"/>
    <n v="7896.71"/>
    <s v="On-Time"/>
    <n v="3"/>
    <n v="126"/>
    <x v="1"/>
    <n v="1"/>
    <x v="1"/>
    <x v="0"/>
  </r>
  <r>
    <x v="188"/>
    <x v="39"/>
    <x v="0"/>
    <x v="0"/>
    <n v="177396"/>
    <n v="0"/>
    <s v="LN_189"/>
    <n v="142036"/>
    <x v="4"/>
    <n v="8.6199999999999992"/>
    <x v="2"/>
    <n v="0"/>
    <x v="188"/>
    <n v="1019.09"/>
    <s v="Delayed"/>
    <n v="3"/>
    <n v="83"/>
    <x v="2"/>
    <n v="10"/>
    <x v="2"/>
    <x v="1"/>
  </r>
  <r>
    <x v="189"/>
    <x v="19"/>
    <x v="1"/>
    <x v="0"/>
    <n v="118896"/>
    <n v="0"/>
    <s v="LN_190"/>
    <n v="1851498"/>
    <x v="3"/>
    <n v="7.82"/>
    <x v="1"/>
    <n v="2421510.6272526002"/>
    <x v="189"/>
    <n v="19779.84"/>
    <s v="Delayed"/>
    <n v="3"/>
    <n v="46"/>
    <x v="1"/>
    <n v="0"/>
    <x v="1"/>
    <x v="0"/>
  </r>
  <r>
    <x v="190"/>
    <x v="0"/>
    <x v="0"/>
    <x v="1"/>
    <n v="229432"/>
    <n v="2"/>
    <s v="LN_191"/>
    <n v="197595"/>
    <x v="0"/>
    <n v="8.74"/>
    <x v="2"/>
    <n v="0"/>
    <x v="190"/>
    <n v="2833.76"/>
    <s v="Delayed"/>
    <n v="0"/>
    <n v="0"/>
    <x v="0"/>
    <n v="10"/>
    <x v="3"/>
    <x v="0"/>
  </r>
  <r>
    <x v="191"/>
    <x v="14"/>
    <x v="0"/>
    <x v="1"/>
    <n v="154999"/>
    <n v="3"/>
    <s v="LN_192"/>
    <n v="903392"/>
    <x v="0"/>
    <n v="12.23"/>
    <x v="0"/>
    <n v="1117866.2444118599"/>
    <x v="191"/>
    <n v="7960.24"/>
    <s v="Delayed"/>
    <n v="0"/>
    <n v="0"/>
    <x v="1"/>
    <n v="0"/>
    <x v="3"/>
    <x v="0"/>
  </r>
  <r>
    <x v="192"/>
    <x v="12"/>
    <x v="1"/>
    <x v="0"/>
    <n v="108680"/>
    <n v="1"/>
    <s v="LN_193"/>
    <n v="1871573"/>
    <x v="1"/>
    <n v="5.38"/>
    <x v="2"/>
    <n v="0"/>
    <x v="192"/>
    <n v="109608.52"/>
    <s v="Delayed"/>
    <n v="0"/>
    <n v="0"/>
    <x v="0"/>
    <n v="4"/>
    <x v="2"/>
    <x v="0"/>
  </r>
  <r>
    <x v="193"/>
    <x v="25"/>
    <x v="0"/>
    <x v="0"/>
    <n v="111546"/>
    <n v="3"/>
    <s v="LN_194"/>
    <n v="331696"/>
    <x v="0"/>
    <n v="16.79"/>
    <x v="1"/>
    <n v="343982.45593465399"/>
    <x v="193"/>
    <n v="2554.81"/>
    <s v="On-Time"/>
    <n v="3"/>
    <n v="124"/>
    <x v="1"/>
    <n v="3"/>
    <x v="3"/>
    <x v="0"/>
  </r>
  <r>
    <x v="194"/>
    <x v="34"/>
    <x v="0"/>
    <x v="2"/>
    <n v="168515"/>
    <n v="1"/>
    <s v="LN_195"/>
    <n v="1615188"/>
    <x v="0"/>
    <n v="7.03"/>
    <x v="3"/>
    <n v="2164348.30295501"/>
    <x v="194"/>
    <n v="9912.0400000000009"/>
    <s v="Delayed"/>
    <n v="2"/>
    <n v="54"/>
    <x v="0"/>
    <n v="0"/>
    <x v="1"/>
    <x v="0"/>
  </r>
  <r>
    <x v="195"/>
    <x v="14"/>
    <x v="1"/>
    <x v="0"/>
    <n v="94973"/>
    <n v="3"/>
    <s v="LN_196"/>
    <n v="1240456"/>
    <x v="4"/>
    <n v="7.86"/>
    <x v="1"/>
    <n v="1041143.0474261401"/>
    <x v="195"/>
    <n v="17132"/>
    <s v="On-Time"/>
    <n v="0"/>
    <n v="0"/>
    <x v="1"/>
    <n v="2"/>
    <x v="2"/>
    <x v="0"/>
  </r>
  <r>
    <x v="196"/>
    <x v="14"/>
    <x v="1"/>
    <x v="0"/>
    <n v="78449"/>
    <n v="0"/>
    <s v="LN_197"/>
    <n v="285419"/>
    <x v="2"/>
    <n v="11.74"/>
    <x v="2"/>
    <n v="0"/>
    <x v="196"/>
    <n v="948.91"/>
    <s v="Delayed"/>
    <n v="1"/>
    <n v="90"/>
    <x v="0"/>
    <n v="2"/>
    <x v="0"/>
    <x v="0"/>
  </r>
  <r>
    <x v="197"/>
    <x v="23"/>
    <x v="0"/>
    <x v="0"/>
    <n v="124834"/>
    <n v="2"/>
    <s v="LN_198"/>
    <n v="1040029"/>
    <x v="0"/>
    <n v="14.23"/>
    <x v="2"/>
    <n v="0"/>
    <x v="197"/>
    <n v="7552.34"/>
    <s v="Delayed"/>
    <n v="1"/>
    <n v="66"/>
    <x v="2"/>
    <n v="1"/>
    <x v="2"/>
    <x v="0"/>
  </r>
  <r>
    <x v="198"/>
    <x v="7"/>
    <x v="1"/>
    <x v="0"/>
    <n v="222815"/>
    <n v="2"/>
    <s v="LN_199"/>
    <n v="204692"/>
    <x v="0"/>
    <n v="6.24"/>
    <x v="0"/>
    <n v="247451.977191796"/>
    <x v="198"/>
    <n v="982.98"/>
    <s v="On-Time"/>
    <n v="1"/>
    <n v="87"/>
    <x v="0"/>
    <n v="4"/>
    <x v="1"/>
    <x v="0"/>
  </r>
  <r>
    <x v="199"/>
    <x v="25"/>
    <x v="1"/>
    <x v="2"/>
    <n v="206305"/>
    <n v="0"/>
    <s v="LN_200"/>
    <n v="313031"/>
    <x v="0"/>
    <n v="9.1300000000000008"/>
    <x v="2"/>
    <n v="0"/>
    <x v="199"/>
    <n v="3788.8"/>
    <s v="On-Time"/>
    <n v="3"/>
    <n v="71"/>
    <x v="1"/>
    <n v="2"/>
    <x v="2"/>
    <x v="0"/>
  </r>
  <r>
    <x v="200"/>
    <x v="43"/>
    <x v="0"/>
    <x v="1"/>
    <n v="40537"/>
    <n v="1"/>
    <s v="LN_201"/>
    <n v="343946"/>
    <x v="5"/>
    <n v="17.59"/>
    <x v="2"/>
    <n v="0"/>
    <x v="200"/>
    <n v="13611.49"/>
    <s v="On-Time"/>
    <n v="1"/>
    <n v="152"/>
    <x v="2"/>
    <n v="6"/>
    <x v="2"/>
    <x v="1"/>
  </r>
  <r>
    <x v="201"/>
    <x v="18"/>
    <x v="0"/>
    <x v="0"/>
    <n v="247365"/>
    <n v="1"/>
    <s v="LN_202"/>
    <n v="1707888"/>
    <x v="5"/>
    <n v="8.41"/>
    <x v="0"/>
    <n v="2551215.7261406798"/>
    <x v="201"/>
    <n v="70874.5"/>
    <s v="On-Time"/>
    <n v="3"/>
    <n v="179"/>
    <x v="1"/>
    <n v="1"/>
    <x v="1"/>
    <x v="0"/>
  </r>
  <r>
    <x v="202"/>
    <x v="40"/>
    <x v="1"/>
    <x v="0"/>
    <n v="92576"/>
    <n v="1"/>
    <s v="LN_203"/>
    <n v="538765"/>
    <x v="4"/>
    <n v="9.07"/>
    <x v="0"/>
    <n v="438893.544122472"/>
    <x v="202"/>
    <n v="5671.05"/>
    <s v="Delayed"/>
    <n v="1"/>
    <n v="70"/>
    <x v="0"/>
    <n v="3"/>
    <x v="2"/>
    <x v="0"/>
  </r>
  <r>
    <x v="203"/>
    <x v="6"/>
    <x v="0"/>
    <x v="2"/>
    <n v="122522"/>
    <n v="0"/>
    <s v="LN_204"/>
    <n v="1868673"/>
    <x v="3"/>
    <n v="15.87"/>
    <x v="3"/>
    <n v="2193854.8689642302"/>
    <x v="203"/>
    <n v="16988.18"/>
    <s v="On-Time"/>
    <n v="2"/>
    <n v="142"/>
    <x v="0"/>
    <n v="2"/>
    <x v="2"/>
    <x v="0"/>
  </r>
  <r>
    <x v="204"/>
    <x v="14"/>
    <x v="0"/>
    <x v="1"/>
    <n v="37612"/>
    <n v="1"/>
    <s v="LN_205"/>
    <n v="692927"/>
    <x v="3"/>
    <n v="5.65"/>
    <x v="2"/>
    <n v="0"/>
    <x v="204"/>
    <n v="9596.01"/>
    <s v="Delayed"/>
    <n v="3"/>
    <n v="2"/>
    <x v="1"/>
    <n v="2"/>
    <x v="1"/>
    <x v="0"/>
  </r>
  <r>
    <x v="205"/>
    <x v="15"/>
    <x v="0"/>
    <x v="1"/>
    <n v="240049"/>
    <n v="0"/>
    <s v="LN_206"/>
    <n v="1704802"/>
    <x v="2"/>
    <n v="11.04"/>
    <x v="2"/>
    <n v="0"/>
    <x v="205"/>
    <n v="20423.11"/>
    <s v="On-Time"/>
    <n v="1"/>
    <n v="132"/>
    <x v="1"/>
    <n v="2"/>
    <x v="3"/>
    <x v="0"/>
  </r>
  <r>
    <x v="206"/>
    <x v="31"/>
    <x v="0"/>
    <x v="2"/>
    <n v="21471"/>
    <n v="3"/>
    <s v="LN_207"/>
    <n v="1316389"/>
    <x v="0"/>
    <n v="9.94"/>
    <x v="2"/>
    <n v="0"/>
    <x v="206"/>
    <n v="6261.74"/>
    <s v="Delayed"/>
    <n v="0"/>
    <n v="0"/>
    <x v="1"/>
    <n v="1"/>
    <x v="1"/>
    <x v="0"/>
  </r>
  <r>
    <x v="207"/>
    <x v="43"/>
    <x v="0"/>
    <x v="2"/>
    <n v="181703"/>
    <n v="3"/>
    <s v="LN_208"/>
    <n v="1874964"/>
    <x v="4"/>
    <n v="9.1199999999999992"/>
    <x v="3"/>
    <n v="2520541.9749506102"/>
    <x v="207"/>
    <n v="37377.65"/>
    <s v="Delayed"/>
    <n v="3"/>
    <n v="48"/>
    <x v="1"/>
    <n v="2"/>
    <x v="2"/>
    <x v="0"/>
  </r>
  <r>
    <x v="208"/>
    <x v="35"/>
    <x v="0"/>
    <x v="1"/>
    <n v="238131"/>
    <n v="0"/>
    <s v="LN_209"/>
    <n v="1483466"/>
    <x v="2"/>
    <n v="8.7100000000000009"/>
    <x v="1"/>
    <n v="2100302.41244289"/>
    <x v="208"/>
    <n v="8399.7000000000007"/>
    <s v="Delayed"/>
    <n v="0"/>
    <n v="0"/>
    <x v="0"/>
    <n v="7"/>
    <x v="0"/>
    <x v="0"/>
  </r>
  <r>
    <x v="209"/>
    <x v="43"/>
    <x v="0"/>
    <x v="0"/>
    <n v="46348"/>
    <n v="2"/>
    <s v="LN_210"/>
    <n v="1911057"/>
    <x v="0"/>
    <n v="6.19"/>
    <x v="1"/>
    <n v="2327538.7945499201"/>
    <x v="209"/>
    <n v="31444"/>
    <s v="On-Time"/>
    <n v="0"/>
    <n v="0"/>
    <x v="1"/>
    <n v="2"/>
    <x v="0"/>
    <x v="0"/>
  </r>
  <r>
    <x v="210"/>
    <x v="29"/>
    <x v="0"/>
    <x v="0"/>
    <n v="210804"/>
    <n v="3"/>
    <s v="LN_211"/>
    <n v="1438509"/>
    <x v="3"/>
    <n v="9.09"/>
    <x v="3"/>
    <n v="1127227.0503068599"/>
    <x v="210"/>
    <n v="34154.519999999997"/>
    <s v="Missed"/>
    <n v="10"/>
    <n v="21"/>
    <x v="1"/>
    <n v="2"/>
    <x v="1"/>
    <x v="0"/>
  </r>
  <r>
    <x v="211"/>
    <x v="8"/>
    <x v="1"/>
    <x v="1"/>
    <n v="16177"/>
    <n v="1"/>
    <s v="LN_212"/>
    <n v="1707390"/>
    <x v="5"/>
    <n v="5.56"/>
    <x v="0"/>
    <n v="1410785.8827672999"/>
    <x v="211"/>
    <n v="58884.57"/>
    <s v="On-Time"/>
    <n v="0"/>
    <n v="0"/>
    <x v="1"/>
    <n v="0"/>
    <x v="0"/>
    <x v="0"/>
  </r>
  <r>
    <x v="212"/>
    <x v="34"/>
    <x v="0"/>
    <x v="0"/>
    <n v="150832"/>
    <n v="0"/>
    <s v="LN_213"/>
    <n v="451062"/>
    <x v="4"/>
    <n v="15.15"/>
    <x v="0"/>
    <n v="234894.15948589999"/>
    <x v="212"/>
    <n v="3628.36"/>
    <s v="On-Time"/>
    <n v="0"/>
    <n v="0"/>
    <x v="1"/>
    <n v="3"/>
    <x v="2"/>
    <x v="0"/>
  </r>
  <r>
    <x v="213"/>
    <x v="17"/>
    <x v="1"/>
    <x v="1"/>
    <n v="47779"/>
    <n v="1"/>
    <s v="LN_214"/>
    <n v="533779"/>
    <x v="0"/>
    <n v="10.18"/>
    <x v="2"/>
    <n v="0"/>
    <x v="213"/>
    <n v="959.91"/>
    <s v="On-Time"/>
    <n v="1"/>
    <n v="61"/>
    <x v="1"/>
    <n v="0"/>
    <x v="2"/>
    <x v="0"/>
  </r>
  <r>
    <x v="214"/>
    <x v="9"/>
    <x v="0"/>
    <x v="0"/>
    <n v="36636"/>
    <n v="1"/>
    <s v="LN_215"/>
    <n v="547952"/>
    <x v="3"/>
    <n v="10.77"/>
    <x v="0"/>
    <n v="690904.99323705898"/>
    <x v="214"/>
    <n v="6756.85"/>
    <s v="On-Time"/>
    <n v="1"/>
    <n v="104"/>
    <x v="0"/>
    <n v="2"/>
    <x v="1"/>
    <x v="0"/>
  </r>
  <r>
    <x v="215"/>
    <x v="41"/>
    <x v="1"/>
    <x v="0"/>
    <n v="96889"/>
    <n v="2"/>
    <s v="LN_216"/>
    <n v="620508"/>
    <x v="0"/>
    <n v="16.62"/>
    <x v="0"/>
    <n v="336774.26747828902"/>
    <x v="215"/>
    <n v="3843.31"/>
    <s v="Missed"/>
    <n v="6"/>
    <n v="125"/>
    <x v="1"/>
    <n v="1"/>
    <x v="2"/>
    <x v="0"/>
  </r>
  <r>
    <x v="216"/>
    <x v="36"/>
    <x v="0"/>
    <x v="0"/>
    <n v="68551"/>
    <n v="1"/>
    <s v="LN_217"/>
    <n v="882595"/>
    <x v="1"/>
    <n v="13.55"/>
    <x v="0"/>
    <n v="1204435.34491061"/>
    <x v="216"/>
    <n v="9830.44"/>
    <s v="On-Time"/>
    <n v="3"/>
    <n v="142"/>
    <x v="0"/>
    <n v="10"/>
    <x v="3"/>
    <x v="0"/>
  </r>
  <r>
    <x v="217"/>
    <x v="35"/>
    <x v="1"/>
    <x v="0"/>
    <n v="157628"/>
    <n v="2"/>
    <s v="LN_218"/>
    <n v="446981"/>
    <x v="0"/>
    <n v="5.0999999999999996"/>
    <x v="3"/>
    <n v="276529.54011844401"/>
    <x v="217"/>
    <n v="4133.3"/>
    <s v="Delayed"/>
    <n v="3"/>
    <n v="61"/>
    <x v="1"/>
    <n v="3"/>
    <x v="2"/>
    <x v="0"/>
  </r>
  <r>
    <x v="218"/>
    <x v="13"/>
    <x v="1"/>
    <x v="2"/>
    <n v="173670"/>
    <n v="3"/>
    <s v="LN_219"/>
    <n v="429270"/>
    <x v="0"/>
    <n v="17.260000000000002"/>
    <x v="3"/>
    <n v="288416.43036458798"/>
    <x v="218"/>
    <n v="3310.59"/>
    <s v="Delayed"/>
    <n v="1"/>
    <n v="176"/>
    <x v="1"/>
    <n v="2"/>
    <x v="1"/>
    <x v="0"/>
  </r>
  <r>
    <x v="219"/>
    <x v="8"/>
    <x v="0"/>
    <x v="1"/>
    <n v="157635"/>
    <n v="0"/>
    <s v="LN_220"/>
    <n v="1966494"/>
    <x v="0"/>
    <n v="8.08"/>
    <x v="1"/>
    <n v="1920333.44573277"/>
    <x v="219"/>
    <n v="21995.26"/>
    <s v="On-Time"/>
    <n v="3"/>
    <n v="121"/>
    <x v="0"/>
    <n v="1"/>
    <x v="3"/>
    <x v="0"/>
  </r>
  <r>
    <x v="220"/>
    <x v="24"/>
    <x v="1"/>
    <x v="1"/>
    <n v="61819"/>
    <n v="1"/>
    <s v="LN_221"/>
    <n v="1173853"/>
    <x v="2"/>
    <n v="6.4"/>
    <x v="1"/>
    <n v="1453089.6389870699"/>
    <x v="220"/>
    <n v="10745.12"/>
    <s v="Delayed"/>
    <n v="0"/>
    <n v="0"/>
    <x v="1"/>
    <n v="3"/>
    <x v="3"/>
    <x v="0"/>
  </r>
  <r>
    <x v="221"/>
    <x v="18"/>
    <x v="0"/>
    <x v="1"/>
    <n v="88770"/>
    <n v="0"/>
    <s v="LN_222"/>
    <n v="1055782"/>
    <x v="0"/>
    <n v="14.99"/>
    <x v="0"/>
    <n v="674647.02620949305"/>
    <x v="221"/>
    <n v="3671.87"/>
    <s v="On-Time"/>
    <n v="1"/>
    <n v="165"/>
    <x v="1"/>
    <n v="0"/>
    <x v="0"/>
    <x v="0"/>
  </r>
  <r>
    <x v="222"/>
    <x v="27"/>
    <x v="0"/>
    <x v="0"/>
    <n v="237127"/>
    <n v="1"/>
    <s v="LN_223"/>
    <n v="1618146"/>
    <x v="2"/>
    <n v="11.51"/>
    <x v="2"/>
    <n v="0"/>
    <x v="222"/>
    <n v="22008.34"/>
    <s v="On-Time"/>
    <n v="3"/>
    <n v="125"/>
    <x v="1"/>
    <n v="2"/>
    <x v="2"/>
    <x v="0"/>
  </r>
  <r>
    <x v="223"/>
    <x v="35"/>
    <x v="0"/>
    <x v="0"/>
    <n v="173038"/>
    <n v="0"/>
    <s v="LN_224"/>
    <n v="533455"/>
    <x v="2"/>
    <n v="10.64"/>
    <x v="2"/>
    <n v="0"/>
    <x v="223"/>
    <n v="1987.4"/>
    <s v="On-Time"/>
    <n v="0"/>
    <n v="0"/>
    <x v="1"/>
    <n v="0"/>
    <x v="1"/>
    <x v="0"/>
  </r>
  <r>
    <x v="224"/>
    <x v="24"/>
    <x v="0"/>
    <x v="0"/>
    <n v="227781"/>
    <n v="1"/>
    <s v="LN_225"/>
    <n v="1989253"/>
    <x v="0"/>
    <n v="8.24"/>
    <x v="0"/>
    <n v="1870039.2062892599"/>
    <x v="224"/>
    <n v="16601.86"/>
    <s v="Missed"/>
    <n v="6"/>
    <n v="114"/>
    <x v="1"/>
    <n v="3"/>
    <x v="0"/>
    <x v="0"/>
  </r>
  <r>
    <x v="225"/>
    <x v="1"/>
    <x v="0"/>
    <x v="0"/>
    <n v="205961"/>
    <n v="1"/>
    <s v="LN_226"/>
    <n v="172332"/>
    <x v="0"/>
    <n v="12.12"/>
    <x v="1"/>
    <n v="169376.725821642"/>
    <x v="225"/>
    <n v="1548.99"/>
    <s v="Missed"/>
    <n v="4"/>
    <n v="4"/>
    <x v="1"/>
    <n v="2"/>
    <x v="0"/>
    <x v="0"/>
  </r>
  <r>
    <x v="226"/>
    <x v="12"/>
    <x v="0"/>
    <x v="0"/>
    <n v="173059"/>
    <n v="1"/>
    <s v="LN_227"/>
    <n v="1332807"/>
    <x v="1"/>
    <n v="8.57"/>
    <x v="2"/>
    <n v="0"/>
    <x v="226"/>
    <n v="92380.91"/>
    <s v="On-Time"/>
    <n v="3"/>
    <n v="23"/>
    <x v="1"/>
    <n v="2"/>
    <x v="2"/>
    <x v="0"/>
  </r>
  <r>
    <x v="227"/>
    <x v="32"/>
    <x v="1"/>
    <x v="0"/>
    <n v="93714"/>
    <n v="1"/>
    <s v="LN_228"/>
    <n v="597219"/>
    <x v="4"/>
    <n v="16.72"/>
    <x v="3"/>
    <n v="425390.518631674"/>
    <x v="227"/>
    <n v="2355.37"/>
    <s v="On-Time"/>
    <n v="2"/>
    <n v="75"/>
    <x v="1"/>
    <n v="3"/>
    <x v="2"/>
    <x v="0"/>
  </r>
  <r>
    <x v="228"/>
    <x v="10"/>
    <x v="0"/>
    <x v="0"/>
    <n v="204420"/>
    <n v="1"/>
    <s v="LN_229"/>
    <n v="139116"/>
    <x v="4"/>
    <n v="7.8"/>
    <x v="2"/>
    <n v="0"/>
    <x v="228"/>
    <n v="1407.91"/>
    <s v="Delayed"/>
    <n v="3"/>
    <n v="56"/>
    <x v="1"/>
    <n v="2"/>
    <x v="1"/>
    <x v="0"/>
  </r>
  <r>
    <x v="229"/>
    <x v="6"/>
    <x v="0"/>
    <x v="2"/>
    <n v="39596"/>
    <n v="1"/>
    <s v="LN_230"/>
    <n v="301671"/>
    <x v="3"/>
    <n v="16.5"/>
    <x v="2"/>
    <n v="0"/>
    <x v="229"/>
    <n v="5578"/>
    <s v="On-Time"/>
    <n v="3"/>
    <n v="103"/>
    <x v="1"/>
    <n v="0"/>
    <x v="0"/>
    <x v="0"/>
  </r>
  <r>
    <x v="230"/>
    <x v="31"/>
    <x v="0"/>
    <x v="1"/>
    <n v="179246"/>
    <n v="1"/>
    <s v="LN_231"/>
    <n v="1940641"/>
    <x v="3"/>
    <n v="12.27"/>
    <x v="0"/>
    <n v="1194577.82367988"/>
    <x v="230"/>
    <n v="15829.16"/>
    <s v="Delayed"/>
    <n v="1"/>
    <n v="177"/>
    <x v="1"/>
    <n v="1"/>
    <x v="1"/>
    <x v="0"/>
  </r>
  <r>
    <x v="231"/>
    <x v="12"/>
    <x v="0"/>
    <x v="0"/>
    <n v="79106"/>
    <n v="1"/>
    <s v="LN_232"/>
    <n v="1572494"/>
    <x v="2"/>
    <n v="15.77"/>
    <x v="2"/>
    <n v="0"/>
    <x v="231"/>
    <n v="14517.64"/>
    <s v="On-Time"/>
    <n v="1"/>
    <n v="62"/>
    <x v="1"/>
    <n v="3"/>
    <x v="0"/>
    <x v="0"/>
  </r>
  <r>
    <x v="232"/>
    <x v="6"/>
    <x v="0"/>
    <x v="1"/>
    <n v="216039"/>
    <n v="1"/>
    <s v="LN_233"/>
    <n v="1674777"/>
    <x v="2"/>
    <n v="14.27"/>
    <x v="2"/>
    <n v="0"/>
    <x v="232"/>
    <n v="21662.74"/>
    <s v="On-Time"/>
    <n v="2"/>
    <n v="78"/>
    <x v="2"/>
    <n v="0"/>
    <x v="0"/>
    <x v="1"/>
  </r>
  <r>
    <x v="233"/>
    <x v="32"/>
    <x v="1"/>
    <x v="1"/>
    <n v="74182"/>
    <n v="0"/>
    <s v="LN_234"/>
    <n v="824504"/>
    <x v="0"/>
    <n v="14.06"/>
    <x v="2"/>
    <n v="0"/>
    <x v="233"/>
    <n v="13711.04"/>
    <s v="Delayed"/>
    <n v="1"/>
    <n v="169"/>
    <x v="1"/>
    <n v="2"/>
    <x v="0"/>
    <x v="0"/>
  </r>
  <r>
    <x v="234"/>
    <x v="43"/>
    <x v="0"/>
    <x v="0"/>
    <n v="239372"/>
    <n v="2"/>
    <s v="LN_235"/>
    <n v="1717640"/>
    <x v="3"/>
    <n v="9.2200000000000006"/>
    <x v="1"/>
    <n v="2295490.0341570498"/>
    <x v="234"/>
    <n v="6164.7"/>
    <s v="On-Time"/>
    <n v="0"/>
    <n v="0"/>
    <x v="0"/>
    <n v="9"/>
    <x v="2"/>
    <x v="0"/>
  </r>
  <r>
    <x v="235"/>
    <x v="26"/>
    <x v="0"/>
    <x v="1"/>
    <n v="102163"/>
    <n v="1"/>
    <s v="LN_236"/>
    <n v="1124567"/>
    <x v="1"/>
    <n v="8.0399999999999991"/>
    <x v="0"/>
    <n v="1127339.7883567601"/>
    <x v="235"/>
    <n v="29241.5"/>
    <s v="Missed"/>
    <n v="9"/>
    <n v="148"/>
    <x v="1"/>
    <n v="1"/>
    <x v="0"/>
    <x v="0"/>
  </r>
  <r>
    <x v="236"/>
    <x v="39"/>
    <x v="0"/>
    <x v="1"/>
    <n v="54310"/>
    <n v="2"/>
    <s v="LN_237"/>
    <n v="564265"/>
    <x v="1"/>
    <n v="7.74"/>
    <x v="0"/>
    <n v="290247.328122598"/>
    <x v="236"/>
    <n v="17834.37"/>
    <s v="Missed"/>
    <n v="11"/>
    <n v="94"/>
    <x v="2"/>
    <n v="10"/>
    <x v="0"/>
    <x v="1"/>
  </r>
  <r>
    <x v="237"/>
    <x v="18"/>
    <x v="0"/>
    <x v="0"/>
    <n v="71088"/>
    <n v="1"/>
    <s v="LN_238"/>
    <n v="1808781"/>
    <x v="3"/>
    <n v="16.14"/>
    <x v="0"/>
    <n v="2356807.8211631798"/>
    <x v="237"/>
    <n v="23072.68"/>
    <s v="On-Time"/>
    <n v="0"/>
    <n v="0"/>
    <x v="1"/>
    <n v="0"/>
    <x v="0"/>
    <x v="0"/>
  </r>
  <r>
    <x v="238"/>
    <x v="11"/>
    <x v="1"/>
    <x v="0"/>
    <n v="143803"/>
    <n v="1"/>
    <s v="LN_239"/>
    <n v="678380"/>
    <x v="1"/>
    <n v="15.67"/>
    <x v="2"/>
    <n v="0"/>
    <x v="238"/>
    <n v="17978.849999999999"/>
    <s v="On-Time"/>
    <n v="2"/>
    <n v="121"/>
    <x v="2"/>
    <n v="10"/>
    <x v="3"/>
    <x v="1"/>
  </r>
  <r>
    <x v="239"/>
    <x v="0"/>
    <x v="0"/>
    <x v="0"/>
    <n v="154978"/>
    <n v="0"/>
    <s v="LN_240"/>
    <n v="279577"/>
    <x v="1"/>
    <n v="10.73"/>
    <x v="3"/>
    <n v="413995.889736393"/>
    <x v="239"/>
    <n v="6596.6"/>
    <s v="Missed"/>
    <n v="0"/>
    <n v="0"/>
    <x v="0"/>
    <n v="7"/>
    <x v="2"/>
    <x v="0"/>
  </r>
  <r>
    <x v="240"/>
    <x v="28"/>
    <x v="0"/>
    <x v="0"/>
    <n v="51914"/>
    <n v="3"/>
    <s v="LN_241"/>
    <n v="760672"/>
    <x v="2"/>
    <n v="6.72"/>
    <x v="2"/>
    <n v="0"/>
    <x v="240"/>
    <n v="10132.77"/>
    <s v="Missed"/>
    <n v="0"/>
    <n v="0"/>
    <x v="1"/>
    <n v="2"/>
    <x v="3"/>
    <x v="0"/>
  </r>
  <r>
    <x v="241"/>
    <x v="11"/>
    <x v="1"/>
    <x v="0"/>
    <n v="125350"/>
    <n v="3"/>
    <s v="LN_242"/>
    <n v="453777"/>
    <x v="0"/>
    <n v="9.9700000000000006"/>
    <x v="3"/>
    <n v="501843.87117649103"/>
    <x v="241"/>
    <n v="7008.35"/>
    <s v="On-Time"/>
    <n v="3"/>
    <n v="141"/>
    <x v="0"/>
    <n v="10"/>
    <x v="2"/>
    <x v="0"/>
  </r>
  <r>
    <x v="242"/>
    <x v="40"/>
    <x v="0"/>
    <x v="1"/>
    <n v="60379"/>
    <n v="0"/>
    <s v="LN_243"/>
    <n v="1859977"/>
    <x v="3"/>
    <n v="13.05"/>
    <x v="0"/>
    <n v="1866874.5146834699"/>
    <x v="242"/>
    <n v="7351.73"/>
    <s v="Delayed"/>
    <n v="1"/>
    <n v="135"/>
    <x v="1"/>
    <n v="3"/>
    <x v="1"/>
    <x v="0"/>
  </r>
  <r>
    <x v="243"/>
    <x v="8"/>
    <x v="1"/>
    <x v="0"/>
    <n v="224684"/>
    <n v="2"/>
    <s v="LN_244"/>
    <n v="145556"/>
    <x v="5"/>
    <n v="10.91"/>
    <x v="3"/>
    <n v="200636.69936137201"/>
    <x v="243"/>
    <n v="2455.84"/>
    <s v="On-Time"/>
    <n v="0"/>
    <n v="0"/>
    <x v="1"/>
    <n v="0"/>
    <x v="3"/>
    <x v="0"/>
  </r>
  <r>
    <x v="244"/>
    <x v="23"/>
    <x v="0"/>
    <x v="0"/>
    <n v="183722"/>
    <n v="3"/>
    <s v="LN_245"/>
    <n v="1947883"/>
    <x v="4"/>
    <n v="15.14"/>
    <x v="2"/>
    <n v="0"/>
    <x v="244"/>
    <n v="18855.25"/>
    <s v="On-Time"/>
    <n v="0"/>
    <n v="0"/>
    <x v="0"/>
    <n v="2"/>
    <x v="1"/>
    <x v="0"/>
  </r>
  <r>
    <x v="245"/>
    <x v="20"/>
    <x v="1"/>
    <x v="2"/>
    <n v="192953"/>
    <n v="0"/>
    <s v="LN_246"/>
    <n v="1255565"/>
    <x v="1"/>
    <n v="17.97"/>
    <x v="0"/>
    <n v="1823729.24304034"/>
    <x v="245"/>
    <n v="32970.410000000003"/>
    <s v="Delayed"/>
    <n v="1"/>
    <n v="88"/>
    <x v="2"/>
    <n v="0"/>
    <x v="0"/>
    <x v="0"/>
  </r>
  <r>
    <x v="246"/>
    <x v="7"/>
    <x v="0"/>
    <x v="1"/>
    <n v="61413"/>
    <n v="0"/>
    <s v="LN_247"/>
    <n v="1422840"/>
    <x v="2"/>
    <n v="7.48"/>
    <x v="2"/>
    <n v="0"/>
    <x v="246"/>
    <n v="13160.99"/>
    <s v="On-Time"/>
    <n v="0"/>
    <n v="0"/>
    <x v="1"/>
    <n v="0"/>
    <x v="1"/>
    <x v="0"/>
  </r>
  <r>
    <x v="247"/>
    <x v="38"/>
    <x v="1"/>
    <x v="0"/>
    <n v="152084"/>
    <n v="3"/>
    <s v="LN_248"/>
    <n v="445204"/>
    <x v="3"/>
    <n v="10.98"/>
    <x v="2"/>
    <n v="0"/>
    <x v="247"/>
    <n v="8364.18"/>
    <s v="Missed"/>
    <n v="9"/>
    <n v="108"/>
    <x v="1"/>
    <n v="2"/>
    <x v="1"/>
    <x v="0"/>
  </r>
  <r>
    <x v="248"/>
    <x v="16"/>
    <x v="0"/>
    <x v="0"/>
    <n v="196187"/>
    <n v="2"/>
    <s v="LN_249"/>
    <n v="1605537"/>
    <x v="3"/>
    <n v="10.6"/>
    <x v="0"/>
    <n v="2014205.4363472899"/>
    <x v="248"/>
    <n v="38597.730000000003"/>
    <s v="On-Time"/>
    <n v="0"/>
    <n v="0"/>
    <x v="0"/>
    <n v="7"/>
    <x v="1"/>
    <x v="0"/>
  </r>
  <r>
    <x v="249"/>
    <x v="22"/>
    <x v="0"/>
    <x v="0"/>
    <n v="22151"/>
    <n v="0"/>
    <s v="LN_250"/>
    <n v="1995049"/>
    <x v="3"/>
    <n v="8.9600000000000009"/>
    <x v="2"/>
    <n v="0"/>
    <x v="249"/>
    <n v="42493.57"/>
    <s v="Delayed"/>
    <n v="1"/>
    <n v="140"/>
    <x v="0"/>
    <n v="1"/>
    <x v="1"/>
    <x v="0"/>
  </r>
  <r>
    <x v="250"/>
    <x v="33"/>
    <x v="0"/>
    <x v="1"/>
    <n v="72716"/>
    <n v="1"/>
    <s v="LN_251"/>
    <n v="702755"/>
    <x v="1"/>
    <n v="7.58"/>
    <x v="0"/>
    <n v="664421.77363541897"/>
    <x v="250"/>
    <n v="34453.5"/>
    <s v="On-Time"/>
    <n v="3"/>
    <n v="84"/>
    <x v="0"/>
    <n v="1"/>
    <x v="2"/>
    <x v="0"/>
  </r>
  <r>
    <x v="251"/>
    <x v="26"/>
    <x v="1"/>
    <x v="0"/>
    <n v="108747"/>
    <n v="2"/>
    <s v="LN_252"/>
    <n v="1619192"/>
    <x v="4"/>
    <n v="5.85"/>
    <x v="2"/>
    <n v="0"/>
    <x v="251"/>
    <n v="23216.11"/>
    <s v="On-Time"/>
    <n v="0"/>
    <n v="0"/>
    <x v="0"/>
    <n v="3"/>
    <x v="3"/>
    <x v="0"/>
  </r>
  <r>
    <x v="252"/>
    <x v="24"/>
    <x v="1"/>
    <x v="0"/>
    <n v="238725"/>
    <n v="2"/>
    <s v="LN_253"/>
    <n v="1506048"/>
    <x v="0"/>
    <n v="16.53"/>
    <x v="2"/>
    <n v="0"/>
    <x v="252"/>
    <n v="8699.68"/>
    <s v="Delayed"/>
    <n v="1"/>
    <n v="90"/>
    <x v="1"/>
    <n v="1"/>
    <x v="2"/>
    <x v="0"/>
  </r>
  <r>
    <x v="253"/>
    <x v="31"/>
    <x v="1"/>
    <x v="2"/>
    <n v="182450"/>
    <n v="3"/>
    <s v="LN_254"/>
    <n v="1479210"/>
    <x v="0"/>
    <n v="10.46"/>
    <x v="1"/>
    <n v="1615624.81610506"/>
    <x v="253"/>
    <n v="15624.17"/>
    <s v="On-Time"/>
    <n v="0"/>
    <n v="0"/>
    <x v="2"/>
    <n v="6"/>
    <x v="2"/>
    <x v="0"/>
  </r>
  <r>
    <x v="254"/>
    <x v="14"/>
    <x v="0"/>
    <x v="0"/>
    <n v="188724"/>
    <n v="3"/>
    <s v="LN_255"/>
    <n v="793088"/>
    <x v="5"/>
    <n v="11.46"/>
    <x v="0"/>
    <n v="952447.42677139502"/>
    <x v="254"/>
    <n v="17854.54"/>
    <s v="On-Time"/>
    <n v="0"/>
    <n v="0"/>
    <x v="1"/>
    <n v="3"/>
    <x v="2"/>
    <x v="0"/>
  </r>
  <r>
    <x v="255"/>
    <x v="40"/>
    <x v="1"/>
    <x v="1"/>
    <n v="218502"/>
    <n v="1"/>
    <s v="LN_256"/>
    <n v="700443"/>
    <x v="4"/>
    <n v="16.920000000000002"/>
    <x v="0"/>
    <n v="486299.06289321498"/>
    <x v="255"/>
    <n v="3210.51"/>
    <s v="On-Time"/>
    <n v="3"/>
    <n v="179"/>
    <x v="1"/>
    <n v="2"/>
    <x v="1"/>
    <x v="0"/>
  </r>
  <r>
    <x v="256"/>
    <x v="19"/>
    <x v="0"/>
    <x v="2"/>
    <n v="159539"/>
    <n v="0"/>
    <s v="LN_257"/>
    <n v="1388950"/>
    <x v="4"/>
    <n v="15.09"/>
    <x v="0"/>
    <n v="1315614.8736970201"/>
    <x v="256"/>
    <n v="9210.18"/>
    <s v="On-Time"/>
    <n v="2"/>
    <n v="116"/>
    <x v="1"/>
    <n v="3"/>
    <x v="2"/>
    <x v="0"/>
  </r>
  <r>
    <x v="257"/>
    <x v="41"/>
    <x v="0"/>
    <x v="0"/>
    <n v="177082"/>
    <n v="3"/>
    <s v="LN_258"/>
    <n v="548682"/>
    <x v="2"/>
    <n v="6.7"/>
    <x v="1"/>
    <n v="729648.991167609"/>
    <x v="257"/>
    <n v="2762.65"/>
    <s v="Delayed"/>
    <n v="2"/>
    <n v="69"/>
    <x v="1"/>
    <n v="1"/>
    <x v="3"/>
    <x v="0"/>
  </r>
  <r>
    <x v="258"/>
    <x v="25"/>
    <x v="0"/>
    <x v="1"/>
    <n v="136999"/>
    <n v="3"/>
    <s v="LN_259"/>
    <n v="109778"/>
    <x v="3"/>
    <n v="12.35"/>
    <x v="2"/>
    <n v="0"/>
    <x v="258"/>
    <n v="2841.66"/>
    <s v="On-Time"/>
    <n v="1"/>
    <n v="78"/>
    <x v="1"/>
    <n v="3"/>
    <x v="2"/>
    <x v="0"/>
  </r>
  <r>
    <x v="259"/>
    <x v="43"/>
    <x v="1"/>
    <x v="0"/>
    <n v="129793"/>
    <n v="2"/>
    <s v="LN_260"/>
    <n v="1144409"/>
    <x v="3"/>
    <n v="10.75"/>
    <x v="0"/>
    <n v="1321478.08134975"/>
    <x v="259"/>
    <n v="9770.33"/>
    <s v="On-Time"/>
    <n v="2"/>
    <n v="64"/>
    <x v="0"/>
    <n v="10"/>
    <x v="0"/>
    <x v="0"/>
  </r>
  <r>
    <x v="260"/>
    <x v="27"/>
    <x v="0"/>
    <x v="2"/>
    <n v="200763"/>
    <n v="3"/>
    <s v="LN_261"/>
    <n v="859057"/>
    <x v="4"/>
    <n v="15.36"/>
    <x v="3"/>
    <n v="782776.23236681405"/>
    <x v="260"/>
    <n v="6448.65"/>
    <s v="On-Time"/>
    <n v="1"/>
    <n v="59"/>
    <x v="1"/>
    <n v="0"/>
    <x v="1"/>
    <x v="0"/>
  </r>
  <r>
    <x v="261"/>
    <x v="39"/>
    <x v="0"/>
    <x v="0"/>
    <n v="210229"/>
    <n v="3"/>
    <s v="LN_262"/>
    <n v="606376"/>
    <x v="4"/>
    <n v="14.42"/>
    <x v="1"/>
    <n v="705435.11992568604"/>
    <x v="261"/>
    <n v="5462.67"/>
    <s v="On-Time"/>
    <n v="2"/>
    <n v="30"/>
    <x v="1"/>
    <n v="3"/>
    <x v="0"/>
    <x v="0"/>
  </r>
  <r>
    <x v="262"/>
    <x v="33"/>
    <x v="1"/>
    <x v="1"/>
    <n v="123177"/>
    <n v="3"/>
    <s v="LN_263"/>
    <n v="1833586"/>
    <x v="4"/>
    <n v="13.98"/>
    <x v="0"/>
    <n v="1133563.9596622901"/>
    <x v="262"/>
    <n v="26639.27"/>
    <s v="On-Time"/>
    <n v="3"/>
    <n v="49"/>
    <x v="0"/>
    <n v="9"/>
    <x v="3"/>
    <x v="0"/>
  </r>
  <r>
    <x v="263"/>
    <x v="6"/>
    <x v="0"/>
    <x v="0"/>
    <n v="27289"/>
    <n v="3"/>
    <s v="LN_264"/>
    <n v="1464657"/>
    <x v="3"/>
    <n v="9.43"/>
    <x v="0"/>
    <n v="1320384.7857971201"/>
    <x v="263"/>
    <n v="8397.9599999999991"/>
    <s v="On-Time"/>
    <n v="1"/>
    <n v="80"/>
    <x v="1"/>
    <n v="3"/>
    <x v="3"/>
    <x v="0"/>
  </r>
  <r>
    <x v="264"/>
    <x v="24"/>
    <x v="0"/>
    <x v="1"/>
    <n v="191048"/>
    <n v="2"/>
    <s v="LN_265"/>
    <n v="1563083"/>
    <x v="4"/>
    <n v="15.46"/>
    <x v="1"/>
    <n v="2021267.23450491"/>
    <x v="264"/>
    <n v="31214.46"/>
    <s v="On-Time"/>
    <n v="2"/>
    <n v="30"/>
    <x v="1"/>
    <n v="2"/>
    <x v="3"/>
    <x v="0"/>
  </r>
  <r>
    <x v="265"/>
    <x v="12"/>
    <x v="0"/>
    <x v="1"/>
    <n v="189668"/>
    <n v="1"/>
    <s v="LN_266"/>
    <n v="1294951"/>
    <x v="2"/>
    <n v="5.68"/>
    <x v="0"/>
    <n v="933023.57441139"/>
    <x v="265"/>
    <n v="15809.45"/>
    <s v="Delayed"/>
    <n v="3"/>
    <n v="137"/>
    <x v="1"/>
    <n v="0"/>
    <x v="3"/>
    <x v="0"/>
  </r>
  <r>
    <x v="266"/>
    <x v="32"/>
    <x v="0"/>
    <x v="0"/>
    <n v="169243"/>
    <n v="1"/>
    <s v="LN_267"/>
    <n v="126361"/>
    <x v="4"/>
    <n v="7.08"/>
    <x v="2"/>
    <n v="0"/>
    <x v="266"/>
    <n v="1630.83"/>
    <s v="Delayed"/>
    <n v="2"/>
    <n v="176"/>
    <x v="2"/>
    <n v="5"/>
    <x v="2"/>
    <x v="1"/>
  </r>
  <r>
    <x v="267"/>
    <x v="9"/>
    <x v="0"/>
    <x v="1"/>
    <n v="246513"/>
    <n v="0"/>
    <s v="LN_268"/>
    <n v="1448949"/>
    <x v="2"/>
    <n v="9.36"/>
    <x v="2"/>
    <n v="0"/>
    <x v="267"/>
    <n v="14220.51"/>
    <s v="On-Time"/>
    <n v="0"/>
    <n v="0"/>
    <x v="1"/>
    <n v="1"/>
    <x v="1"/>
    <x v="0"/>
  </r>
  <r>
    <x v="268"/>
    <x v="18"/>
    <x v="0"/>
    <x v="0"/>
    <n v="101365"/>
    <n v="3"/>
    <s v="LN_269"/>
    <n v="1233765"/>
    <x v="4"/>
    <n v="6"/>
    <x v="1"/>
    <n v="846315.29937157803"/>
    <x v="268"/>
    <n v="2955.75"/>
    <s v="On-Time"/>
    <n v="0"/>
    <n v="0"/>
    <x v="1"/>
    <n v="3"/>
    <x v="3"/>
    <x v="0"/>
  </r>
  <r>
    <x v="269"/>
    <x v="9"/>
    <x v="1"/>
    <x v="0"/>
    <n v="245662"/>
    <n v="2"/>
    <s v="LN_270"/>
    <n v="1713129"/>
    <x v="2"/>
    <n v="8.0500000000000007"/>
    <x v="2"/>
    <n v="0"/>
    <x v="269"/>
    <n v="9637.5499999999993"/>
    <s v="On-Time"/>
    <n v="3"/>
    <n v="47"/>
    <x v="1"/>
    <n v="3"/>
    <x v="0"/>
    <x v="0"/>
  </r>
  <r>
    <x v="270"/>
    <x v="8"/>
    <x v="0"/>
    <x v="0"/>
    <n v="129014"/>
    <n v="0"/>
    <s v="LN_271"/>
    <n v="572154"/>
    <x v="0"/>
    <n v="15.79"/>
    <x v="1"/>
    <n v="830091.69954582595"/>
    <x v="270"/>
    <n v="7782.19"/>
    <s v="On-Time"/>
    <n v="0"/>
    <n v="0"/>
    <x v="1"/>
    <n v="1"/>
    <x v="3"/>
    <x v="0"/>
  </r>
  <r>
    <x v="271"/>
    <x v="4"/>
    <x v="0"/>
    <x v="0"/>
    <n v="190211"/>
    <n v="0"/>
    <s v="LN_272"/>
    <n v="672006"/>
    <x v="3"/>
    <n v="17.329999999999998"/>
    <x v="2"/>
    <n v="0"/>
    <x v="271"/>
    <n v="3168.41"/>
    <s v="On-Time"/>
    <n v="0"/>
    <n v="0"/>
    <x v="1"/>
    <n v="2"/>
    <x v="1"/>
    <x v="0"/>
  </r>
  <r>
    <x v="272"/>
    <x v="10"/>
    <x v="1"/>
    <x v="0"/>
    <n v="194785"/>
    <n v="1"/>
    <s v="LN_273"/>
    <n v="1421430"/>
    <x v="2"/>
    <n v="8.9600000000000009"/>
    <x v="0"/>
    <n v="1009069.78762276"/>
    <x v="272"/>
    <n v="6990.33"/>
    <s v="On-Time"/>
    <n v="1"/>
    <n v="49"/>
    <x v="1"/>
    <n v="0"/>
    <x v="0"/>
    <x v="0"/>
  </r>
  <r>
    <x v="273"/>
    <x v="17"/>
    <x v="0"/>
    <x v="2"/>
    <n v="175806"/>
    <n v="2"/>
    <s v="LN_274"/>
    <n v="1061930"/>
    <x v="5"/>
    <n v="8.44"/>
    <x v="2"/>
    <n v="0"/>
    <x v="273"/>
    <n v="27732.62"/>
    <s v="On-Time"/>
    <n v="2"/>
    <n v="55"/>
    <x v="1"/>
    <n v="2"/>
    <x v="0"/>
    <x v="0"/>
  </r>
  <r>
    <x v="274"/>
    <x v="11"/>
    <x v="0"/>
    <x v="0"/>
    <n v="87588"/>
    <n v="2"/>
    <s v="LN_275"/>
    <n v="1717740"/>
    <x v="2"/>
    <n v="8.64"/>
    <x v="2"/>
    <n v="0"/>
    <x v="274"/>
    <n v="7891.39"/>
    <s v="On-Time"/>
    <n v="1"/>
    <n v="123"/>
    <x v="2"/>
    <n v="8"/>
    <x v="0"/>
    <x v="1"/>
  </r>
  <r>
    <x v="275"/>
    <x v="32"/>
    <x v="0"/>
    <x v="1"/>
    <n v="78646"/>
    <n v="2"/>
    <s v="LN_276"/>
    <n v="1034558"/>
    <x v="4"/>
    <n v="8.61"/>
    <x v="3"/>
    <n v="787214.40392571897"/>
    <x v="275"/>
    <n v="20272.599999999999"/>
    <s v="On-Time"/>
    <n v="2"/>
    <n v="70"/>
    <x v="1"/>
    <n v="2"/>
    <x v="2"/>
    <x v="0"/>
  </r>
  <r>
    <x v="276"/>
    <x v="33"/>
    <x v="0"/>
    <x v="0"/>
    <n v="18654"/>
    <n v="1"/>
    <s v="LN_277"/>
    <n v="1129525"/>
    <x v="1"/>
    <n v="5.47"/>
    <x v="1"/>
    <n v="1659967.9433909201"/>
    <x v="276"/>
    <n v="20515.259999999998"/>
    <s v="On-Time"/>
    <n v="0"/>
    <n v="0"/>
    <x v="1"/>
    <n v="0"/>
    <x v="3"/>
    <x v="0"/>
  </r>
  <r>
    <x v="277"/>
    <x v="20"/>
    <x v="0"/>
    <x v="1"/>
    <n v="235094"/>
    <n v="1"/>
    <s v="LN_278"/>
    <n v="1835818"/>
    <x v="4"/>
    <n v="17.05"/>
    <x v="0"/>
    <n v="2266700.2180467998"/>
    <x v="277"/>
    <n v="31272.2"/>
    <s v="On-Time"/>
    <n v="1"/>
    <n v="150"/>
    <x v="1"/>
    <n v="3"/>
    <x v="2"/>
    <x v="0"/>
  </r>
  <r>
    <x v="278"/>
    <x v="33"/>
    <x v="1"/>
    <x v="2"/>
    <n v="33743"/>
    <n v="1"/>
    <s v="LN_279"/>
    <n v="904568"/>
    <x v="2"/>
    <n v="7.78"/>
    <x v="0"/>
    <n v="1085116.6366840301"/>
    <x v="278"/>
    <n v="6999.77"/>
    <s v="On-Time"/>
    <n v="2"/>
    <n v="134"/>
    <x v="1"/>
    <n v="2"/>
    <x v="0"/>
    <x v="0"/>
  </r>
  <r>
    <x v="279"/>
    <x v="20"/>
    <x v="1"/>
    <x v="0"/>
    <n v="63368"/>
    <n v="1"/>
    <s v="LN_280"/>
    <n v="1210117"/>
    <x v="1"/>
    <n v="10.46"/>
    <x v="0"/>
    <n v="1637199.2168509499"/>
    <x v="279"/>
    <n v="78183.41"/>
    <s v="On-Time"/>
    <n v="2"/>
    <n v="152"/>
    <x v="0"/>
    <n v="3"/>
    <x v="2"/>
    <x v="0"/>
  </r>
  <r>
    <x v="280"/>
    <x v="1"/>
    <x v="0"/>
    <x v="1"/>
    <n v="236097"/>
    <n v="1"/>
    <s v="LN_281"/>
    <n v="1818555"/>
    <x v="4"/>
    <n v="5.13"/>
    <x v="0"/>
    <n v="1119908.14531713"/>
    <x v="280"/>
    <n v="14383.4"/>
    <s v="On-Time"/>
    <n v="1"/>
    <n v="72"/>
    <x v="1"/>
    <n v="0"/>
    <x v="2"/>
    <x v="0"/>
  </r>
  <r>
    <x v="281"/>
    <x v="28"/>
    <x v="0"/>
    <x v="0"/>
    <n v="220244"/>
    <n v="3"/>
    <s v="LN_282"/>
    <n v="111842"/>
    <x v="0"/>
    <n v="16.149999999999999"/>
    <x v="0"/>
    <n v="134876.55741158099"/>
    <x v="281"/>
    <n v="1049.53"/>
    <s v="On-Time"/>
    <n v="3"/>
    <n v="25"/>
    <x v="1"/>
    <n v="3"/>
    <x v="2"/>
    <x v="0"/>
  </r>
  <r>
    <x v="282"/>
    <x v="28"/>
    <x v="0"/>
    <x v="1"/>
    <n v="152513"/>
    <n v="3"/>
    <s v="LN_283"/>
    <n v="538019"/>
    <x v="0"/>
    <n v="14.51"/>
    <x v="2"/>
    <n v="0"/>
    <x v="282"/>
    <n v="7811.6"/>
    <s v="On-Time"/>
    <n v="2"/>
    <n v="49"/>
    <x v="0"/>
    <n v="1"/>
    <x v="3"/>
    <x v="0"/>
  </r>
  <r>
    <x v="283"/>
    <x v="14"/>
    <x v="1"/>
    <x v="0"/>
    <n v="134735"/>
    <n v="2"/>
    <s v="LN_284"/>
    <n v="1331506"/>
    <x v="3"/>
    <n v="17.309999999999999"/>
    <x v="0"/>
    <n v="1336417.40545221"/>
    <x v="283"/>
    <n v="19239.900000000001"/>
    <s v="On-Time"/>
    <n v="0"/>
    <n v="0"/>
    <x v="1"/>
    <n v="1"/>
    <x v="0"/>
    <x v="0"/>
  </r>
  <r>
    <x v="284"/>
    <x v="33"/>
    <x v="0"/>
    <x v="2"/>
    <n v="170683"/>
    <n v="0"/>
    <s v="LN_285"/>
    <n v="339134"/>
    <x v="5"/>
    <n v="15.16"/>
    <x v="1"/>
    <n v="450760.173242121"/>
    <x v="284"/>
    <n v="5987.8"/>
    <s v="On-Time"/>
    <n v="2"/>
    <n v="75"/>
    <x v="1"/>
    <n v="0"/>
    <x v="0"/>
    <x v="0"/>
  </r>
  <r>
    <x v="285"/>
    <x v="24"/>
    <x v="0"/>
    <x v="0"/>
    <n v="134891"/>
    <n v="2"/>
    <s v="LN_286"/>
    <n v="721553"/>
    <x v="1"/>
    <n v="9.08"/>
    <x v="3"/>
    <n v="727427.68152802705"/>
    <x v="285"/>
    <n v="35027.78"/>
    <s v="On-Time"/>
    <n v="0"/>
    <n v="0"/>
    <x v="1"/>
    <n v="0"/>
    <x v="3"/>
    <x v="0"/>
  </r>
  <r>
    <x v="286"/>
    <x v="39"/>
    <x v="0"/>
    <x v="0"/>
    <n v="122971"/>
    <n v="0"/>
    <s v="LN_287"/>
    <n v="1390829"/>
    <x v="4"/>
    <n v="8.2200000000000006"/>
    <x v="2"/>
    <n v="0"/>
    <x v="286"/>
    <n v="21604.98"/>
    <s v="On-Time"/>
    <n v="1"/>
    <n v="58"/>
    <x v="1"/>
    <n v="2"/>
    <x v="2"/>
    <x v="0"/>
  </r>
  <r>
    <x v="287"/>
    <x v="10"/>
    <x v="0"/>
    <x v="1"/>
    <n v="27149"/>
    <n v="1"/>
    <s v="LN_288"/>
    <n v="180356"/>
    <x v="4"/>
    <n v="14.07"/>
    <x v="1"/>
    <n v="202042.24969052401"/>
    <x v="287"/>
    <n v="1875.73"/>
    <s v="Delayed"/>
    <n v="2"/>
    <n v="92"/>
    <x v="1"/>
    <n v="1"/>
    <x v="2"/>
    <x v="0"/>
  </r>
  <r>
    <x v="288"/>
    <x v="18"/>
    <x v="1"/>
    <x v="0"/>
    <n v="115102"/>
    <n v="0"/>
    <s v="LN_289"/>
    <n v="818917"/>
    <x v="2"/>
    <n v="9.73"/>
    <x v="0"/>
    <n v="800689.64892472897"/>
    <x v="288"/>
    <n v="10748.16"/>
    <s v="On-Time"/>
    <n v="0"/>
    <n v="0"/>
    <x v="1"/>
    <n v="1"/>
    <x v="1"/>
    <x v="0"/>
  </r>
  <r>
    <x v="289"/>
    <x v="29"/>
    <x v="0"/>
    <x v="0"/>
    <n v="74189"/>
    <n v="2"/>
    <s v="LN_290"/>
    <n v="787090"/>
    <x v="1"/>
    <n v="12.36"/>
    <x v="0"/>
    <n v="769899.10714156902"/>
    <x v="289"/>
    <n v="23970.25"/>
    <s v="On-Time"/>
    <n v="0"/>
    <n v="0"/>
    <x v="1"/>
    <n v="1"/>
    <x v="1"/>
    <x v="0"/>
  </r>
  <r>
    <x v="290"/>
    <x v="18"/>
    <x v="1"/>
    <x v="0"/>
    <n v="167747"/>
    <n v="2"/>
    <s v="LN_291"/>
    <n v="964565"/>
    <x v="0"/>
    <n v="5.08"/>
    <x v="2"/>
    <n v="0"/>
    <x v="290"/>
    <n v="8486.84"/>
    <s v="Delayed"/>
    <n v="1"/>
    <n v="45"/>
    <x v="0"/>
    <n v="1"/>
    <x v="1"/>
    <x v="0"/>
  </r>
  <r>
    <x v="291"/>
    <x v="30"/>
    <x v="0"/>
    <x v="0"/>
    <n v="86031"/>
    <n v="0"/>
    <s v="LN_292"/>
    <n v="1788446"/>
    <x v="1"/>
    <n v="5.8"/>
    <x v="0"/>
    <n v="2267695.8353847698"/>
    <x v="291"/>
    <n v="116433.04"/>
    <s v="On-Time"/>
    <n v="2"/>
    <n v="77"/>
    <x v="1"/>
    <n v="1"/>
    <x v="3"/>
    <x v="0"/>
  </r>
  <r>
    <x v="292"/>
    <x v="5"/>
    <x v="1"/>
    <x v="0"/>
    <n v="57668"/>
    <n v="3"/>
    <s v="LN_293"/>
    <n v="837738"/>
    <x v="5"/>
    <n v="11.96"/>
    <x v="2"/>
    <n v="0"/>
    <x v="292"/>
    <n v="25139.43"/>
    <s v="On-Time"/>
    <n v="2"/>
    <n v="3"/>
    <x v="1"/>
    <n v="1"/>
    <x v="0"/>
    <x v="0"/>
  </r>
  <r>
    <x v="293"/>
    <x v="32"/>
    <x v="0"/>
    <x v="0"/>
    <n v="159745"/>
    <n v="1"/>
    <s v="LN_294"/>
    <n v="1102425"/>
    <x v="4"/>
    <n v="12.36"/>
    <x v="2"/>
    <n v="0"/>
    <x v="293"/>
    <n v="20148.580000000002"/>
    <s v="Delayed"/>
    <n v="1"/>
    <n v="136"/>
    <x v="1"/>
    <n v="1"/>
    <x v="1"/>
    <x v="0"/>
  </r>
  <r>
    <x v="294"/>
    <x v="4"/>
    <x v="0"/>
    <x v="0"/>
    <n v="222738"/>
    <n v="1"/>
    <s v="LN_295"/>
    <n v="62360"/>
    <x v="4"/>
    <n v="14.77"/>
    <x v="1"/>
    <n v="70377.400744364597"/>
    <x v="294"/>
    <n v="1295.44"/>
    <s v="Delayed"/>
    <n v="2"/>
    <n v="32"/>
    <x v="1"/>
    <n v="2"/>
    <x v="0"/>
    <x v="0"/>
  </r>
  <r>
    <x v="295"/>
    <x v="26"/>
    <x v="1"/>
    <x v="0"/>
    <n v="103204"/>
    <n v="2"/>
    <s v="LN_296"/>
    <n v="423216"/>
    <x v="0"/>
    <n v="6.72"/>
    <x v="1"/>
    <n v="479615.11913232802"/>
    <x v="295"/>
    <n v="3415.16"/>
    <s v="On-Time"/>
    <n v="1"/>
    <n v="70"/>
    <x v="1"/>
    <n v="1"/>
    <x v="0"/>
    <x v="0"/>
  </r>
  <r>
    <x v="296"/>
    <x v="12"/>
    <x v="1"/>
    <x v="1"/>
    <n v="226830"/>
    <n v="3"/>
    <s v="LN_297"/>
    <n v="827567"/>
    <x v="2"/>
    <n v="11.67"/>
    <x v="0"/>
    <n v="786422.42429700401"/>
    <x v="296"/>
    <n v="2299.21"/>
    <s v="On-Time"/>
    <n v="2"/>
    <n v="11"/>
    <x v="2"/>
    <n v="9"/>
    <x v="0"/>
    <x v="1"/>
  </r>
  <r>
    <x v="297"/>
    <x v="34"/>
    <x v="1"/>
    <x v="0"/>
    <n v="211501"/>
    <n v="0"/>
    <s v="LN_298"/>
    <n v="669055"/>
    <x v="4"/>
    <n v="7.53"/>
    <x v="3"/>
    <n v="689868.96407210501"/>
    <x v="297"/>
    <n v="1775.43"/>
    <s v="On-Time"/>
    <n v="3"/>
    <n v="13"/>
    <x v="0"/>
    <n v="0"/>
    <x v="3"/>
    <x v="0"/>
  </r>
  <r>
    <x v="298"/>
    <x v="18"/>
    <x v="0"/>
    <x v="0"/>
    <n v="169741"/>
    <n v="1"/>
    <s v="LN_299"/>
    <n v="311445"/>
    <x v="2"/>
    <n v="6.21"/>
    <x v="2"/>
    <n v="0"/>
    <x v="298"/>
    <n v="3262.34"/>
    <s v="On-Time"/>
    <n v="2"/>
    <n v="141"/>
    <x v="2"/>
    <n v="4"/>
    <x v="3"/>
    <x v="1"/>
  </r>
  <r>
    <x v="299"/>
    <x v="19"/>
    <x v="1"/>
    <x v="0"/>
    <n v="180140"/>
    <n v="3"/>
    <s v="LN_300"/>
    <n v="1799736"/>
    <x v="2"/>
    <n v="10.34"/>
    <x v="2"/>
    <n v="0"/>
    <x v="299"/>
    <n v="22162.06"/>
    <s v="On-Time"/>
    <n v="0"/>
    <n v="0"/>
    <x v="0"/>
    <n v="2"/>
    <x v="3"/>
    <x v="0"/>
  </r>
  <r>
    <x v="300"/>
    <x v="13"/>
    <x v="0"/>
    <x v="0"/>
    <n v="234861"/>
    <n v="1"/>
    <s v="LN_301"/>
    <n v="1620234"/>
    <x v="4"/>
    <n v="7.12"/>
    <x v="0"/>
    <n v="2018354.1171856499"/>
    <x v="300"/>
    <n v="10080.6"/>
    <s v="On-Time"/>
    <n v="0"/>
    <n v="0"/>
    <x v="1"/>
    <n v="1"/>
    <x v="3"/>
    <x v="0"/>
  </r>
  <r>
    <x v="301"/>
    <x v="13"/>
    <x v="1"/>
    <x v="1"/>
    <n v="155507"/>
    <n v="3"/>
    <s v="LN_302"/>
    <n v="480179"/>
    <x v="0"/>
    <n v="7.88"/>
    <x v="2"/>
    <n v="0"/>
    <x v="301"/>
    <n v="1941.55"/>
    <s v="On-Time"/>
    <n v="3"/>
    <n v="74"/>
    <x v="1"/>
    <n v="2"/>
    <x v="1"/>
    <x v="0"/>
  </r>
  <r>
    <x v="302"/>
    <x v="16"/>
    <x v="0"/>
    <x v="0"/>
    <n v="240160"/>
    <n v="3"/>
    <s v="LN_303"/>
    <n v="104330"/>
    <x v="4"/>
    <n v="9.1300000000000008"/>
    <x v="2"/>
    <n v="0"/>
    <x v="302"/>
    <n v="339.04"/>
    <s v="Missed"/>
    <n v="4"/>
    <n v="178"/>
    <x v="1"/>
    <n v="1"/>
    <x v="2"/>
    <x v="0"/>
  </r>
  <r>
    <x v="303"/>
    <x v="17"/>
    <x v="1"/>
    <x v="0"/>
    <n v="198321"/>
    <n v="2"/>
    <s v="LN_304"/>
    <n v="101707"/>
    <x v="1"/>
    <n v="8.3699999999999992"/>
    <x v="2"/>
    <n v="0"/>
    <x v="303"/>
    <n v="7123.16"/>
    <s v="Missed"/>
    <n v="0"/>
    <n v="0"/>
    <x v="1"/>
    <n v="0"/>
    <x v="2"/>
    <x v="0"/>
  </r>
  <r>
    <x v="304"/>
    <x v="17"/>
    <x v="1"/>
    <x v="1"/>
    <n v="52384"/>
    <n v="1"/>
    <s v="LN_305"/>
    <n v="330833"/>
    <x v="0"/>
    <n v="6.14"/>
    <x v="2"/>
    <n v="0"/>
    <x v="304"/>
    <n v="2096.62"/>
    <s v="On-Time"/>
    <n v="0"/>
    <n v="0"/>
    <x v="2"/>
    <n v="10"/>
    <x v="2"/>
    <x v="0"/>
  </r>
  <r>
    <x v="305"/>
    <x v="4"/>
    <x v="1"/>
    <x v="1"/>
    <n v="96929"/>
    <n v="0"/>
    <s v="LN_306"/>
    <n v="1651948"/>
    <x v="1"/>
    <n v="6.17"/>
    <x v="1"/>
    <n v="2190385.4494451"/>
    <x v="305"/>
    <n v="63534.91"/>
    <s v="Delayed"/>
    <n v="2"/>
    <n v="32"/>
    <x v="1"/>
    <n v="0"/>
    <x v="1"/>
    <x v="0"/>
  </r>
  <r>
    <x v="306"/>
    <x v="21"/>
    <x v="0"/>
    <x v="0"/>
    <n v="142959"/>
    <n v="2"/>
    <s v="LN_307"/>
    <n v="1138963"/>
    <x v="4"/>
    <n v="7.51"/>
    <x v="2"/>
    <n v="0"/>
    <x v="306"/>
    <n v="13109.35"/>
    <s v="On-Time"/>
    <n v="1"/>
    <n v="163"/>
    <x v="0"/>
    <n v="2"/>
    <x v="2"/>
    <x v="0"/>
  </r>
  <r>
    <x v="307"/>
    <x v="21"/>
    <x v="0"/>
    <x v="1"/>
    <n v="91153"/>
    <n v="2"/>
    <s v="LN_308"/>
    <n v="1959824"/>
    <x v="0"/>
    <n v="5.66"/>
    <x v="0"/>
    <n v="2345049.75339555"/>
    <x v="307"/>
    <n v="27944.080000000002"/>
    <s v="Delayed"/>
    <n v="2"/>
    <n v="125"/>
    <x v="1"/>
    <n v="0"/>
    <x v="1"/>
    <x v="0"/>
  </r>
  <r>
    <x v="308"/>
    <x v="36"/>
    <x v="1"/>
    <x v="2"/>
    <n v="90388"/>
    <n v="0"/>
    <s v="LN_309"/>
    <n v="1625506"/>
    <x v="1"/>
    <n v="13.14"/>
    <x v="2"/>
    <n v="0"/>
    <x v="308"/>
    <n v="92890.880000000005"/>
    <s v="On-Time"/>
    <n v="1"/>
    <n v="26"/>
    <x v="0"/>
    <n v="5"/>
    <x v="1"/>
    <x v="0"/>
  </r>
  <r>
    <x v="309"/>
    <x v="5"/>
    <x v="0"/>
    <x v="0"/>
    <n v="46401"/>
    <n v="2"/>
    <s v="LN_310"/>
    <n v="1927145"/>
    <x v="5"/>
    <n v="8.74"/>
    <x v="0"/>
    <n v="2744395.1400890099"/>
    <x v="309"/>
    <n v="52479.22"/>
    <s v="On-Time"/>
    <n v="3"/>
    <n v="3"/>
    <x v="2"/>
    <n v="3"/>
    <x v="1"/>
    <x v="1"/>
  </r>
  <r>
    <x v="310"/>
    <x v="16"/>
    <x v="1"/>
    <x v="1"/>
    <n v="217903"/>
    <n v="3"/>
    <s v="LN_311"/>
    <n v="1571624"/>
    <x v="2"/>
    <n v="8.64"/>
    <x v="2"/>
    <n v="0"/>
    <x v="310"/>
    <n v="5633.94"/>
    <s v="On-Time"/>
    <n v="3"/>
    <n v="146"/>
    <x v="0"/>
    <n v="9"/>
    <x v="2"/>
    <x v="0"/>
  </r>
  <r>
    <x v="311"/>
    <x v="18"/>
    <x v="1"/>
    <x v="1"/>
    <n v="134503"/>
    <n v="3"/>
    <s v="LN_312"/>
    <n v="236633"/>
    <x v="4"/>
    <n v="9.32"/>
    <x v="1"/>
    <n v="312432.24995053699"/>
    <x v="311"/>
    <n v="2769.94"/>
    <s v="On-Time"/>
    <n v="0"/>
    <n v="0"/>
    <x v="0"/>
    <n v="5"/>
    <x v="0"/>
    <x v="0"/>
  </r>
  <r>
    <x v="312"/>
    <x v="23"/>
    <x v="0"/>
    <x v="0"/>
    <n v="247601"/>
    <n v="1"/>
    <s v="LN_313"/>
    <n v="1947268"/>
    <x v="5"/>
    <n v="13.62"/>
    <x v="0"/>
    <n v="2067733.3782548001"/>
    <x v="312"/>
    <n v="60352.56"/>
    <s v="On-Time"/>
    <n v="0"/>
    <n v="0"/>
    <x v="1"/>
    <n v="0"/>
    <x v="2"/>
    <x v="0"/>
  </r>
  <r>
    <x v="313"/>
    <x v="18"/>
    <x v="1"/>
    <x v="0"/>
    <n v="142834"/>
    <n v="1"/>
    <s v="LN_314"/>
    <n v="1769374"/>
    <x v="0"/>
    <n v="16.32"/>
    <x v="2"/>
    <n v="0"/>
    <x v="313"/>
    <n v="28779.89"/>
    <s v="Delayed"/>
    <n v="0"/>
    <n v="0"/>
    <x v="0"/>
    <n v="2"/>
    <x v="2"/>
    <x v="0"/>
  </r>
  <r>
    <x v="314"/>
    <x v="41"/>
    <x v="0"/>
    <x v="0"/>
    <n v="49084"/>
    <n v="0"/>
    <s v="LN_315"/>
    <n v="884874"/>
    <x v="4"/>
    <n v="14.87"/>
    <x v="0"/>
    <n v="1036546.77712455"/>
    <x v="314"/>
    <n v="5185.1000000000004"/>
    <s v="Delayed"/>
    <n v="1"/>
    <n v="72"/>
    <x v="2"/>
    <n v="4"/>
    <x v="3"/>
    <x v="1"/>
  </r>
  <r>
    <x v="315"/>
    <x v="6"/>
    <x v="1"/>
    <x v="1"/>
    <n v="125641"/>
    <n v="1"/>
    <s v="LN_316"/>
    <n v="939493"/>
    <x v="4"/>
    <n v="14.46"/>
    <x v="2"/>
    <n v="0"/>
    <x v="315"/>
    <n v="2125.39"/>
    <s v="On-Time"/>
    <n v="0"/>
    <n v="0"/>
    <x v="0"/>
    <n v="0"/>
    <x v="1"/>
    <x v="0"/>
  </r>
  <r>
    <x v="316"/>
    <x v="29"/>
    <x v="1"/>
    <x v="2"/>
    <n v="120111"/>
    <n v="3"/>
    <s v="LN_317"/>
    <n v="446210"/>
    <x v="2"/>
    <n v="11.3"/>
    <x v="0"/>
    <n v="636433.01624500705"/>
    <x v="316"/>
    <n v="1039.74"/>
    <s v="On-Time"/>
    <n v="2"/>
    <n v="120"/>
    <x v="0"/>
    <n v="2"/>
    <x v="0"/>
    <x v="0"/>
  </r>
  <r>
    <x v="317"/>
    <x v="33"/>
    <x v="0"/>
    <x v="1"/>
    <n v="201898"/>
    <n v="0"/>
    <s v="LN_318"/>
    <n v="828799"/>
    <x v="0"/>
    <n v="14.02"/>
    <x v="2"/>
    <n v="0"/>
    <x v="317"/>
    <n v="6053.92"/>
    <s v="On-Time"/>
    <n v="1"/>
    <n v="122"/>
    <x v="0"/>
    <n v="6"/>
    <x v="3"/>
    <x v="0"/>
  </r>
  <r>
    <x v="318"/>
    <x v="34"/>
    <x v="0"/>
    <x v="0"/>
    <n v="182523"/>
    <n v="0"/>
    <s v="LN_319"/>
    <n v="1486564"/>
    <x v="3"/>
    <n v="12.19"/>
    <x v="3"/>
    <n v="1663714.9245221401"/>
    <x v="318"/>
    <n v="34624.15"/>
    <s v="Delayed"/>
    <n v="3"/>
    <n v="112"/>
    <x v="0"/>
    <n v="8"/>
    <x v="0"/>
    <x v="0"/>
  </r>
  <r>
    <x v="319"/>
    <x v="15"/>
    <x v="1"/>
    <x v="1"/>
    <n v="153299"/>
    <n v="1"/>
    <s v="LN_320"/>
    <n v="1460295"/>
    <x v="0"/>
    <n v="7.81"/>
    <x v="2"/>
    <n v="0"/>
    <x v="319"/>
    <n v="2590.27"/>
    <s v="Missed"/>
    <n v="2"/>
    <n v="87"/>
    <x v="1"/>
    <n v="0"/>
    <x v="0"/>
    <x v="0"/>
  </r>
  <r>
    <x v="320"/>
    <x v="23"/>
    <x v="0"/>
    <x v="0"/>
    <n v="177982"/>
    <n v="3"/>
    <s v="LN_321"/>
    <n v="838245"/>
    <x v="2"/>
    <n v="7.71"/>
    <x v="0"/>
    <n v="1110512.8001093499"/>
    <x v="320"/>
    <n v="5949.88"/>
    <s v="Missed"/>
    <n v="0"/>
    <n v="0"/>
    <x v="0"/>
    <n v="1"/>
    <x v="1"/>
    <x v="0"/>
  </r>
  <r>
    <x v="321"/>
    <x v="16"/>
    <x v="0"/>
    <x v="0"/>
    <n v="51041"/>
    <n v="0"/>
    <s v="LN_322"/>
    <n v="929459"/>
    <x v="5"/>
    <n v="8.85"/>
    <x v="2"/>
    <n v="0"/>
    <x v="321"/>
    <n v="15347.98"/>
    <s v="Delayed"/>
    <n v="2"/>
    <n v="47"/>
    <x v="1"/>
    <n v="3"/>
    <x v="2"/>
    <x v="0"/>
  </r>
  <r>
    <x v="322"/>
    <x v="1"/>
    <x v="0"/>
    <x v="0"/>
    <n v="103920"/>
    <n v="3"/>
    <s v="LN_323"/>
    <n v="134381"/>
    <x v="5"/>
    <n v="16.84"/>
    <x v="2"/>
    <n v="0"/>
    <x v="322"/>
    <n v="824.39"/>
    <s v="On-Time"/>
    <n v="2"/>
    <n v="13"/>
    <x v="1"/>
    <n v="3"/>
    <x v="1"/>
    <x v="0"/>
  </r>
  <r>
    <x v="323"/>
    <x v="35"/>
    <x v="0"/>
    <x v="1"/>
    <n v="80681"/>
    <n v="3"/>
    <s v="LN_324"/>
    <n v="1872744"/>
    <x v="5"/>
    <n v="12.12"/>
    <x v="0"/>
    <n v="2226337.7377351299"/>
    <x v="323"/>
    <n v="39422.25"/>
    <s v="On-Time"/>
    <n v="0"/>
    <n v="0"/>
    <x v="1"/>
    <n v="2"/>
    <x v="1"/>
    <x v="0"/>
  </r>
  <r>
    <x v="324"/>
    <x v="33"/>
    <x v="0"/>
    <x v="0"/>
    <n v="249386"/>
    <n v="3"/>
    <s v="LN_325"/>
    <n v="891708"/>
    <x v="0"/>
    <n v="14.54"/>
    <x v="3"/>
    <n v="938020.06864850596"/>
    <x v="324"/>
    <n v="4893.6000000000004"/>
    <s v="On-Time"/>
    <n v="2"/>
    <n v="64"/>
    <x v="1"/>
    <n v="0"/>
    <x v="3"/>
    <x v="0"/>
  </r>
  <r>
    <x v="325"/>
    <x v="39"/>
    <x v="0"/>
    <x v="1"/>
    <n v="96571"/>
    <n v="1"/>
    <s v="LN_326"/>
    <n v="1926251"/>
    <x v="4"/>
    <n v="9.51"/>
    <x v="2"/>
    <n v="0"/>
    <x v="325"/>
    <n v="16722.12"/>
    <s v="Missed"/>
    <n v="3"/>
    <n v="122"/>
    <x v="1"/>
    <n v="3"/>
    <x v="1"/>
    <x v="0"/>
  </r>
  <r>
    <x v="326"/>
    <x v="25"/>
    <x v="0"/>
    <x v="0"/>
    <n v="211553"/>
    <n v="2"/>
    <s v="LN_327"/>
    <n v="243984"/>
    <x v="4"/>
    <n v="10.3"/>
    <x v="2"/>
    <n v="0"/>
    <x v="326"/>
    <n v="3736.28"/>
    <s v="On-Time"/>
    <n v="1"/>
    <n v="29"/>
    <x v="1"/>
    <n v="1"/>
    <x v="2"/>
    <x v="0"/>
  </r>
  <r>
    <x v="327"/>
    <x v="9"/>
    <x v="1"/>
    <x v="0"/>
    <n v="214648"/>
    <n v="2"/>
    <s v="LN_328"/>
    <n v="1158848"/>
    <x v="2"/>
    <n v="6.63"/>
    <x v="2"/>
    <n v="0"/>
    <x v="327"/>
    <n v="9164.49"/>
    <s v="On-Time"/>
    <n v="0"/>
    <n v="0"/>
    <x v="1"/>
    <n v="0"/>
    <x v="0"/>
    <x v="0"/>
  </r>
  <r>
    <x v="328"/>
    <x v="1"/>
    <x v="0"/>
    <x v="0"/>
    <n v="142556"/>
    <n v="0"/>
    <s v="LN_329"/>
    <n v="1594492"/>
    <x v="0"/>
    <n v="7.23"/>
    <x v="2"/>
    <n v="0"/>
    <x v="328"/>
    <n v="5638.73"/>
    <s v="Delayed"/>
    <n v="2"/>
    <n v="16"/>
    <x v="1"/>
    <n v="2"/>
    <x v="1"/>
    <x v="0"/>
  </r>
  <r>
    <x v="329"/>
    <x v="38"/>
    <x v="0"/>
    <x v="0"/>
    <n v="210246"/>
    <n v="3"/>
    <s v="LN_330"/>
    <n v="1795987"/>
    <x v="5"/>
    <n v="15.76"/>
    <x v="2"/>
    <n v="0"/>
    <x v="329"/>
    <n v="72234.080000000002"/>
    <s v="On-Time"/>
    <n v="3"/>
    <n v="102"/>
    <x v="1"/>
    <n v="3"/>
    <x v="0"/>
    <x v="0"/>
  </r>
  <r>
    <x v="330"/>
    <x v="33"/>
    <x v="0"/>
    <x v="2"/>
    <n v="41160"/>
    <n v="1"/>
    <s v="LN_331"/>
    <n v="1046358"/>
    <x v="3"/>
    <n v="12.6"/>
    <x v="0"/>
    <n v="776228.33047841804"/>
    <x v="330"/>
    <n v="19541.310000000001"/>
    <s v="On-Time"/>
    <n v="1"/>
    <n v="125"/>
    <x v="0"/>
    <n v="10"/>
    <x v="1"/>
    <x v="0"/>
  </r>
  <r>
    <x v="331"/>
    <x v="18"/>
    <x v="0"/>
    <x v="0"/>
    <n v="32633"/>
    <n v="3"/>
    <s v="LN_332"/>
    <n v="788096"/>
    <x v="3"/>
    <n v="9.39"/>
    <x v="2"/>
    <n v="0"/>
    <x v="331"/>
    <n v="17278.599999999999"/>
    <s v="Delayed"/>
    <n v="1"/>
    <n v="18"/>
    <x v="2"/>
    <n v="0"/>
    <x v="0"/>
    <x v="1"/>
  </r>
  <r>
    <x v="332"/>
    <x v="5"/>
    <x v="0"/>
    <x v="1"/>
    <n v="240952"/>
    <n v="3"/>
    <s v="LN_333"/>
    <n v="303091"/>
    <x v="3"/>
    <n v="15.44"/>
    <x v="2"/>
    <n v="0"/>
    <x v="332"/>
    <n v="1442.14"/>
    <s v="On-Time"/>
    <n v="1"/>
    <n v="147"/>
    <x v="0"/>
    <n v="0"/>
    <x v="1"/>
    <x v="0"/>
  </r>
  <r>
    <x v="333"/>
    <x v="43"/>
    <x v="1"/>
    <x v="0"/>
    <n v="32014"/>
    <n v="1"/>
    <s v="LN_334"/>
    <n v="902050"/>
    <x v="0"/>
    <n v="8.1999999999999993"/>
    <x v="1"/>
    <n v="835296.06243649602"/>
    <x v="333"/>
    <n v="2140.15"/>
    <s v="On-Time"/>
    <n v="1"/>
    <n v="161"/>
    <x v="2"/>
    <n v="7"/>
    <x v="3"/>
    <x v="1"/>
  </r>
  <r>
    <x v="334"/>
    <x v="7"/>
    <x v="1"/>
    <x v="1"/>
    <n v="95532"/>
    <n v="2"/>
    <s v="LN_335"/>
    <n v="314064"/>
    <x v="2"/>
    <n v="17.690000000000001"/>
    <x v="2"/>
    <n v="0"/>
    <x v="334"/>
    <n v="512.54999999999995"/>
    <s v="Delayed"/>
    <n v="3"/>
    <n v="175"/>
    <x v="0"/>
    <n v="6"/>
    <x v="0"/>
    <x v="0"/>
  </r>
  <r>
    <x v="335"/>
    <x v="18"/>
    <x v="0"/>
    <x v="0"/>
    <n v="64104"/>
    <n v="3"/>
    <s v="LN_336"/>
    <n v="1204697"/>
    <x v="3"/>
    <n v="9.48"/>
    <x v="2"/>
    <n v="0"/>
    <x v="335"/>
    <n v="9032.3700000000008"/>
    <s v="Delayed"/>
    <n v="0"/>
    <n v="0"/>
    <x v="1"/>
    <n v="3"/>
    <x v="1"/>
    <x v="0"/>
  </r>
  <r>
    <x v="336"/>
    <x v="12"/>
    <x v="1"/>
    <x v="1"/>
    <n v="187693"/>
    <n v="3"/>
    <s v="LN_337"/>
    <n v="520435"/>
    <x v="4"/>
    <n v="9.39"/>
    <x v="2"/>
    <n v="0"/>
    <x v="336"/>
    <n v="5128.1000000000004"/>
    <s v="Missed"/>
    <n v="2"/>
    <n v="13"/>
    <x v="0"/>
    <n v="10"/>
    <x v="1"/>
    <x v="0"/>
  </r>
  <r>
    <x v="337"/>
    <x v="28"/>
    <x v="1"/>
    <x v="1"/>
    <n v="92231"/>
    <n v="2"/>
    <s v="LN_338"/>
    <n v="651160"/>
    <x v="0"/>
    <n v="9.0500000000000007"/>
    <x v="0"/>
    <n v="955735.41781872197"/>
    <x v="337"/>
    <n v="10225.85"/>
    <s v="On-Time"/>
    <n v="2"/>
    <n v="38"/>
    <x v="0"/>
    <n v="1"/>
    <x v="3"/>
    <x v="0"/>
  </r>
  <r>
    <x v="338"/>
    <x v="20"/>
    <x v="0"/>
    <x v="0"/>
    <n v="83388"/>
    <n v="1"/>
    <s v="LN_339"/>
    <n v="1966140"/>
    <x v="3"/>
    <n v="6.59"/>
    <x v="2"/>
    <n v="0"/>
    <x v="338"/>
    <n v="27927.58"/>
    <s v="On-Time"/>
    <n v="3"/>
    <n v="38"/>
    <x v="1"/>
    <n v="3"/>
    <x v="3"/>
    <x v="0"/>
  </r>
  <r>
    <x v="339"/>
    <x v="22"/>
    <x v="1"/>
    <x v="0"/>
    <n v="31014"/>
    <n v="0"/>
    <s v="LN_340"/>
    <n v="314237"/>
    <x v="5"/>
    <n v="6.44"/>
    <x v="0"/>
    <n v="363812.720743432"/>
    <x v="339"/>
    <n v="4729.6499999999996"/>
    <s v="Delayed"/>
    <n v="1"/>
    <n v="144"/>
    <x v="1"/>
    <n v="3"/>
    <x v="3"/>
    <x v="0"/>
  </r>
  <r>
    <x v="340"/>
    <x v="38"/>
    <x v="1"/>
    <x v="1"/>
    <n v="107578"/>
    <n v="2"/>
    <s v="LN_341"/>
    <n v="325049"/>
    <x v="4"/>
    <n v="13.43"/>
    <x v="2"/>
    <n v="0"/>
    <x v="340"/>
    <n v="4101.99"/>
    <s v="On-Time"/>
    <n v="2"/>
    <n v="77"/>
    <x v="0"/>
    <n v="1"/>
    <x v="0"/>
    <x v="0"/>
  </r>
  <r>
    <x v="341"/>
    <x v="12"/>
    <x v="0"/>
    <x v="2"/>
    <n v="179827"/>
    <n v="0"/>
    <s v="LN_342"/>
    <n v="696047"/>
    <x v="1"/>
    <n v="16.38"/>
    <x v="0"/>
    <n v="740869.211298813"/>
    <x v="341"/>
    <n v="11643.77"/>
    <s v="On-Time"/>
    <n v="1"/>
    <n v="21"/>
    <x v="1"/>
    <n v="0"/>
    <x v="0"/>
    <x v="0"/>
  </r>
  <r>
    <x v="342"/>
    <x v="11"/>
    <x v="0"/>
    <x v="0"/>
    <n v="55390"/>
    <n v="0"/>
    <s v="LN_343"/>
    <n v="467567"/>
    <x v="2"/>
    <n v="15.28"/>
    <x v="2"/>
    <n v="0"/>
    <x v="342"/>
    <n v="4211.71"/>
    <s v="Delayed"/>
    <n v="0"/>
    <n v="0"/>
    <x v="0"/>
    <n v="5"/>
    <x v="3"/>
    <x v="0"/>
  </r>
  <r>
    <x v="343"/>
    <x v="9"/>
    <x v="1"/>
    <x v="1"/>
    <n v="38711"/>
    <n v="2"/>
    <s v="LN_344"/>
    <n v="1391701"/>
    <x v="1"/>
    <n v="6.83"/>
    <x v="0"/>
    <n v="1994247.1687042599"/>
    <x v="343"/>
    <n v="70929.06"/>
    <s v="On-Time"/>
    <n v="3"/>
    <n v="63"/>
    <x v="1"/>
    <n v="1"/>
    <x v="2"/>
    <x v="0"/>
  </r>
  <r>
    <x v="344"/>
    <x v="43"/>
    <x v="1"/>
    <x v="2"/>
    <n v="106658"/>
    <n v="3"/>
    <s v="LN_345"/>
    <n v="1958911"/>
    <x v="3"/>
    <n v="12.09"/>
    <x v="1"/>
    <n v="2128379.8795038499"/>
    <x v="344"/>
    <n v="44227.519999999997"/>
    <s v="On-Time"/>
    <n v="0"/>
    <n v="0"/>
    <x v="1"/>
    <n v="0"/>
    <x v="2"/>
    <x v="0"/>
  </r>
  <r>
    <x v="345"/>
    <x v="13"/>
    <x v="0"/>
    <x v="1"/>
    <n v="72993"/>
    <n v="0"/>
    <s v="LN_346"/>
    <n v="1955829"/>
    <x v="4"/>
    <n v="6.37"/>
    <x v="0"/>
    <n v="2006841.94591379"/>
    <x v="345"/>
    <n v="40258.25"/>
    <s v="On-Time"/>
    <n v="3"/>
    <n v="30"/>
    <x v="1"/>
    <n v="1"/>
    <x v="1"/>
    <x v="0"/>
  </r>
  <r>
    <x v="346"/>
    <x v="7"/>
    <x v="1"/>
    <x v="2"/>
    <n v="220768"/>
    <n v="0"/>
    <s v="LN_347"/>
    <n v="1469920"/>
    <x v="2"/>
    <n v="5.59"/>
    <x v="2"/>
    <n v="0"/>
    <x v="346"/>
    <n v="6651.1"/>
    <s v="On-Time"/>
    <n v="1"/>
    <n v="142"/>
    <x v="1"/>
    <n v="2"/>
    <x v="2"/>
    <x v="0"/>
  </r>
  <r>
    <x v="347"/>
    <x v="14"/>
    <x v="1"/>
    <x v="1"/>
    <n v="173285"/>
    <n v="1"/>
    <s v="LN_348"/>
    <n v="132289"/>
    <x v="5"/>
    <n v="13.53"/>
    <x v="2"/>
    <n v="0"/>
    <x v="347"/>
    <n v="3079.53"/>
    <s v="On-Time"/>
    <n v="1"/>
    <n v="106"/>
    <x v="1"/>
    <n v="2"/>
    <x v="1"/>
    <x v="0"/>
  </r>
  <r>
    <x v="348"/>
    <x v="21"/>
    <x v="1"/>
    <x v="0"/>
    <n v="203856"/>
    <n v="3"/>
    <s v="LN_349"/>
    <n v="690794"/>
    <x v="5"/>
    <n v="11.96"/>
    <x v="2"/>
    <n v="0"/>
    <x v="348"/>
    <n v="26422.26"/>
    <s v="On-Time"/>
    <n v="3"/>
    <n v="155"/>
    <x v="0"/>
    <n v="6"/>
    <x v="0"/>
    <x v="0"/>
  </r>
  <r>
    <x v="349"/>
    <x v="22"/>
    <x v="1"/>
    <x v="0"/>
    <n v="22421"/>
    <n v="0"/>
    <s v="LN_350"/>
    <n v="1701377"/>
    <x v="1"/>
    <n v="6.07"/>
    <x v="2"/>
    <n v="0"/>
    <x v="349"/>
    <n v="114370.94"/>
    <s v="Delayed"/>
    <n v="2"/>
    <n v="152"/>
    <x v="0"/>
    <n v="9"/>
    <x v="0"/>
    <x v="0"/>
  </r>
  <r>
    <x v="350"/>
    <x v="14"/>
    <x v="1"/>
    <x v="0"/>
    <n v="233008"/>
    <n v="1"/>
    <s v="LN_351"/>
    <n v="1511666"/>
    <x v="5"/>
    <n v="5.45"/>
    <x v="2"/>
    <n v="0"/>
    <x v="350"/>
    <n v="33928.44"/>
    <s v="Missed"/>
    <n v="4"/>
    <n v="158"/>
    <x v="0"/>
    <n v="8"/>
    <x v="2"/>
    <x v="0"/>
  </r>
  <r>
    <x v="351"/>
    <x v="31"/>
    <x v="0"/>
    <x v="1"/>
    <n v="245145"/>
    <n v="3"/>
    <s v="LN_352"/>
    <n v="1804867"/>
    <x v="5"/>
    <n v="17.87"/>
    <x v="1"/>
    <n v="2272888.6052023899"/>
    <x v="351"/>
    <n v="71505.41"/>
    <s v="On-Time"/>
    <n v="1"/>
    <n v="57"/>
    <x v="1"/>
    <n v="2"/>
    <x v="0"/>
    <x v="0"/>
  </r>
  <r>
    <x v="352"/>
    <x v="34"/>
    <x v="0"/>
    <x v="1"/>
    <n v="32727"/>
    <n v="2"/>
    <s v="LN_353"/>
    <n v="1499466"/>
    <x v="4"/>
    <n v="5.39"/>
    <x v="2"/>
    <n v="0"/>
    <x v="352"/>
    <n v="4733.1000000000004"/>
    <s v="On-Time"/>
    <n v="1"/>
    <n v="133"/>
    <x v="0"/>
    <n v="7"/>
    <x v="3"/>
    <x v="0"/>
  </r>
  <r>
    <x v="353"/>
    <x v="11"/>
    <x v="1"/>
    <x v="0"/>
    <n v="127418"/>
    <n v="2"/>
    <s v="LN_354"/>
    <n v="1411236"/>
    <x v="5"/>
    <n v="10.78"/>
    <x v="0"/>
    <n v="1711357.3774761001"/>
    <x v="353"/>
    <n v="55149.85"/>
    <s v="On-Time"/>
    <n v="0"/>
    <n v="0"/>
    <x v="1"/>
    <n v="3"/>
    <x v="3"/>
    <x v="0"/>
  </r>
  <r>
    <x v="354"/>
    <x v="18"/>
    <x v="1"/>
    <x v="1"/>
    <n v="19358"/>
    <n v="1"/>
    <s v="LN_355"/>
    <n v="309480"/>
    <x v="1"/>
    <n v="11.56"/>
    <x v="0"/>
    <n v="214519.15940224199"/>
    <x v="354"/>
    <n v="3751.33"/>
    <s v="On-Time"/>
    <n v="1"/>
    <n v="97"/>
    <x v="1"/>
    <n v="0"/>
    <x v="2"/>
    <x v="0"/>
  </r>
  <r>
    <x v="355"/>
    <x v="27"/>
    <x v="0"/>
    <x v="1"/>
    <n v="80108"/>
    <n v="2"/>
    <s v="LN_356"/>
    <n v="1884907"/>
    <x v="0"/>
    <n v="6.52"/>
    <x v="0"/>
    <n v="1830825.7659026801"/>
    <x v="355"/>
    <n v="18615.79"/>
    <s v="Delayed"/>
    <n v="3"/>
    <n v="115"/>
    <x v="1"/>
    <n v="0"/>
    <x v="2"/>
    <x v="0"/>
  </r>
  <r>
    <x v="356"/>
    <x v="3"/>
    <x v="0"/>
    <x v="0"/>
    <n v="109018"/>
    <n v="0"/>
    <s v="LN_357"/>
    <n v="1814622"/>
    <x v="3"/>
    <n v="7.2"/>
    <x v="2"/>
    <n v="0"/>
    <x v="356"/>
    <n v="45435.96"/>
    <s v="Delayed"/>
    <n v="2"/>
    <n v="113"/>
    <x v="1"/>
    <n v="1"/>
    <x v="1"/>
    <x v="0"/>
  </r>
  <r>
    <x v="357"/>
    <x v="0"/>
    <x v="1"/>
    <x v="0"/>
    <n v="139457"/>
    <n v="3"/>
    <s v="LN_358"/>
    <n v="1586643"/>
    <x v="3"/>
    <n v="9.57"/>
    <x v="1"/>
    <n v="1543034.8197416"/>
    <x v="357"/>
    <n v="14828.45"/>
    <s v="Delayed"/>
    <n v="2"/>
    <n v="76"/>
    <x v="1"/>
    <n v="3"/>
    <x v="0"/>
    <x v="0"/>
  </r>
  <r>
    <x v="358"/>
    <x v="1"/>
    <x v="0"/>
    <x v="0"/>
    <n v="178189"/>
    <n v="0"/>
    <s v="LN_359"/>
    <n v="1429932"/>
    <x v="3"/>
    <n v="14.9"/>
    <x v="2"/>
    <n v="0"/>
    <x v="358"/>
    <n v="20854.11"/>
    <s v="On-Time"/>
    <n v="0"/>
    <n v="0"/>
    <x v="1"/>
    <n v="3"/>
    <x v="1"/>
    <x v="0"/>
  </r>
  <r>
    <x v="359"/>
    <x v="22"/>
    <x v="1"/>
    <x v="0"/>
    <n v="234772"/>
    <n v="0"/>
    <s v="LN_360"/>
    <n v="183498"/>
    <x v="2"/>
    <n v="11.59"/>
    <x v="1"/>
    <n v="161152.44209812299"/>
    <x v="359"/>
    <n v="998.78"/>
    <s v="On-Time"/>
    <n v="2"/>
    <n v="150"/>
    <x v="0"/>
    <n v="3"/>
    <x v="1"/>
    <x v="0"/>
  </r>
  <r>
    <x v="360"/>
    <x v="31"/>
    <x v="1"/>
    <x v="0"/>
    <n v="46910"/>
    <n v="2"/>
    <s v="LN_361"/>
    <n v="1352600"/>
    <x v="5"/>
    <n v="13.29"/>
    <x v="1"/>
    <n v="1375991.16395914"/>
    <x v="360"/>
    <n v="53930.95"/>
    <s v="On-Time"/>
    <n v="2"/>
    <n v="109"/>
    <x v="0"/>
    <n v="6"/>
    <x v="3"/>
    <x v="0"/>
  </r>
  <r>
    <x v="361"/>
    <x v="33"/>
    <x v="1"/>
    <x v="0"/>
    <n v="141888"/>
    <n v="0"/>
    <s v="LN_362"/>
    <n v="1753834"/>
    <x v="2"/>
    <n v="17.809999999999999"/>
    <x v="1"/>
    <n v="1601438.79978539"/>
    <x v="361"/>
    <n v="20492.599999999999"/>
    <s v="On-Time"/>
    <n v="3"/>
    <n v="78"/>
    <x v="1"/>
    <n v="2"/>
    <x v="3"/>
    <x v="0"/>
  </r>
  <r>
    <x v="362"/>
    <x v="20"/>
    <x v="0"/>
    <x v="0"/>
    <n v="244104"/>
    <n v="2"/>
    <s v="LN_363"/>
    <n v="1188585"/>
    <x v="0"/>
    <n v="14.98"/>
    <x v="0"/>
    <n v="831231.55860310595"/>
    <x v="362"/>
    <n v="14621.6"/>
    <s v="Delayed"/>
    <n v="2"/>
    <n v="145"/>
    <x v="1"/>
    <n v="3"/>
    <x v="3"/>
    <x v="0"/>
  </r>
  <r>
    <x v="363"/>
    <x v="9"/>
    <x v="0"/>
    <x v="0"/>
    <n v="70754"/>
    <n v="3"/>
    <s v="LN_364"/>
    <n v="773858"/>
    <x v="1"/>
    <n v="10.65"/>
    <x v="2"/>
    <n v="0"/>
    <x v="363"/>
    <n v="40554.31"/>
    <s v="Missed"/>
    <n v="0"/>
    <n v="0"/>
    <x v="1"/>
    <n v="3"/>
    <x v="3"/>
    <x v="0"/>
  </r>
  <r>
    <x v="364"/>
    <x v="42"/>
    <x v="0"/>
    <x v="0"/>
    <n v="208510"/>
    <n v="3"/>
    <s v="LN_365"/>
    <n v="473159"/>
    <x v="2"/>
    <n v="10.8"/>
    <x v="2"/>
    <n v="0"/>
    <x v="364"/>
    <n v="5510.55"/>
    <s v="On-Time"/>
    <n v="0"/>
    <n v="0"/>
    <x v="1"/>
    <n v="3"/>
    <x v="1"/>
    <x v="0"/>
  </r>
  <r>
    <x v="365"/>
    <x v="26"/>
    <x v="0"/>
    <x v="0"/>
    <n v="124847"/>
    <n v="0"/>
    <s v="LN_366"/>
    <n v="771755"/>
    <x v="3"/>
    <n v="13.04"/>
    <x v="0"/>
    <n v="704123.39838667098"/>
    <x v="365"/>
    <n v="9712.1200000000008"/>
    <s v="Delayed"/>
    <n v="2"/>
    <n v="158"/>
    <x v="0"/>
    <n v="1"/>
    <x v="3"/>
    <x v="0"/>
  </r>
  <r>
    <x v="366"/>
    <x v="10"/>
    <x v="0"/>
    <x v="1"/>
    <n v="175443"/>
    <n v="1"/>
    <s v="LN_367"/>
    <n v="94816"/>
    <x v="1"/>
    <n v="13.65"/>
    <x v="2"/>
    <n v="0"/>
    <x v="366"/>
    <n v="3972.76"/>
    <s v="On-Time"/>
    <n v="1"/>
    <n v="15"/>
    <x v="1"/>
    <n v="2"/>
    <x v="0"/>
    <x v="0"/>
  </r>
  <r>
    <x v="367"/>
    <x v="32"/>
    <x v="0"/>
    <x v="0"/>
    <n v="197573"/>
    <n v="2"/>
    <s v="LN_368"/>
    <n v="54138"/>
    <x v="0"/>
    <n v="11.51"/>
    <x v="1"/>
    <n v="30981.929387716598"/>
    <x v="367"/>
    <n v="683.04"/>
    <s v="On-Time"/>
    <n v="2"/>
    <n v="156"/>
    <x v="0"/>
    <n v="6"/>
    <x v="3"/>
    <x v="0"/>
  </r>
  <r>
    <x v="368"/>
    <x v="40"/>
    <x v="0"/>
    <x v="2"/>
    <n v="207018"/>
    <n v="2"/>
    <s v="LN_369"/>
    <n v="1189752"/>
    <x v="0"/>
    <n v="13.38"/>
    <x v="2"/>
    <n v="0"/>
    <x v="368"/>
    <n v="8367.51"/>
    <s v="On-Time"/>
    <n v="0"/>
    <n v="0"/>
    <x v="0"/>
    <n v="5"/>
    <x v="3"/>
    <x v="0"/>
  </r>
  <r>
    <x v="369"/>
    <x v="4"/>
    <x v="0"/>
    <x v="2"/>
    <n v="53467"/>
    <n v="0"/>
    <s v="LN_370"/>
    <n v="1436665"/>
    <x v="4"/>
    <n v="5.31"/>
    <x v="2"/>
    <n v="0"/>
    <x v="369"/>
    <n v="4714.38"/>
    <s v="On-Time"/>
    <n v="0"/>
    <n v="0"/>
    <x v="1"/>
    <n v="2"/>
    <x v="3"/>
    <x v="0"/>
  </r>
  <r>
    <x v="370"/>
    <x v="24"/>
    <x v="0"/>
    <x v="0"/>
    <n v="163697"/>
    <n v="2"/>
    <s v="LN_371"/>
    <n v="840449"/>
    <x v="5"/>
    <n v="10.59"/>
    <x v="2"/>
    <n v="0"/>
    <x v="370"/>
    <n v="5844.66"/>
    <s v="On-Time"/>
    <n v="3"/>
    <n v="25"/>
    <x v="2"/>
    <n v="5"/>
    <x v="2"/>
    <x v="1"/>
  </r>
  <r>
    <x v="371"/>
    <x v="30"/>
    <x v="0"/>
    <x v="0"/>
    <n v="48893"/>
    <n v="2"/>
    <s v="LN_372"/>
    <n v="846883"/>
    <x v="4"/>
    <n v="8.6300000000000008"/>
    <x v="2"/>
    <n v="0"/>
    <x v="371"/>
    <n v="3596.19"/>
    <s v="Delayed"/>
    <n v="2"/>
    <n v="53"/>
    <x v="1"/>
    <n v="1"/>
    <x v="0"/>
    <x v="0"/>
  </r>
  <r>
    <x v="372"/>
    <x v="19"/>
    <x v="0"/>
    <x v="0"/>
    <n v="91329"/>
    <n v="1"/>
    <s v="LN_373"/>
    <n v="1816892"/>
    <x v="0"/>
    <n v="6.68"/>
    <x v="0"/>
    <n v="1954586.7277879301"/>
    <x v="372"/>
    <n v="26729.91"/>
    <s v="Delayed"/>
    <n v="2"/>
    <n v="160"/>
    <x v="1"/>
    <n v="3"/>
    <x v="0"/>
    <x v="0"/>
  </r>
  <r>
    <x v="373"/>
    <x v="7"/>
    <x v="1"/>
    <x v="0"/>
    <n v="46007"/>
    <n v="1"/>
    <s v="LN_374"/>
    <n v="406007"/>
    <x v="3"/>
    <n v="6.29"/>
    <x v="1"/>
    <n v="549593.22245193401"/>
    <x v="373"/>
    <n v="5920.98"/>
    <s v="On-Time"/>
    <n v="3"/>
    <n v="54"/>
    <x v="1"/>
    <n v="0"/>
    <x v="1"/>
    <x v="0"/>
  </r>
  <r>
    <x v="374"/>
    <x v="2"/>
    <x v="1"/>
    <x v="1"/>
    <n v="237374"/>
    <n v="0"/>
    <s v="LN_375"/>
    <n v="846710"/>
    <x v="3"/>
    <n v="12.84"/>
    <x v="0"/>
    <n v="1037462.82719385"/>
    <x v="374"/>
    <n v="17442.09"/>
    <s v="On-Time"/>
    <n v="0"/>
    <n v="0"/>
    <x v="1"/>
    <n v="0"/>
    <x v="1"/>
    <x v="0"/>
  </r>
  <r>
    <x v="375"/>
    <x v="23"/>
    <x v="0"/>
    <x v="0"/>
    <n v="185604"/>
    <n v="1"/>
    <s v="LN_376"/>
    <n v="271552"/>
    <x v="1"/>
    <n v="11.81"/>
    <x v="1"/>
    <n v="233641.722364774"/>
    <x v="375"/>
    <n v="10265.08"/>
    <s v="Delayed"/>
    <n v="3"/>
    <n v="67"/>
    <x v="1"/>
    <n v="0"/>
    <x v="3"/>
    <x v="0"/>
  </r>
  <r>
    <x v="376"/>
    <x v="36"/>
    <x v="1"/>
    <x v="0"/>
    <n v="69253"/>
    <n v="0"/>
    <s v="LN_377"/>
    <n v="93764"/>
    <x v="5"/>
    <n v="8.3000000000000007"/>
    <x v="1"/>
    <n v="55046.144519750698"/>
    <x v="376"/>
    <n v="1300.3499999999999"/>
    <s v="Delayed"/>
    <n v="1"/>
    <n v="169"/>
    <x v="1"/>
    <n v="0"/>
    <x v="2"/>
    <x v="0"/>
  </r>
  <r>
    <x v="377"/>
    <x v="14"/>
    <x v="0"/>
    <x v="0"/>
    <n v="27323"/>
    <n v="3"/>
    <s v="LN_378"/>
    <n v="173030"/>
    <x v="2"/>
    <n v="11.12"/>
    <x v="1"/>
    <n v="121492.910547949"/>
    <x v="377"/>
    <n v="991.25"/>
    <s v="Delayed"/>
    <n v="2"/>
    <n v="20"/>
    <x v="0"/>
    <n v="6"/>
    <x v="1"/>
    <x v="0"/>
  </r>
  <r>
    <x v="378"/>
    <x v="43"/>
    <x v="1"/>
    <x v="0"/>
    <n v="126335"/>
    <n v="0"/>
    <s v="LN_379"/>
    <n v="968638"/>
    <x v="3"/>
    <n v="11.4"/>
    <x v="2"/>
    <n v="0"/>
    <x v="378"/>
    <n v="21922.54"/>
    <s v="On-Time"/>
    <n v="0"/>
    <n v="0"/>
    <x v="2"/>
    <n v="1"/>
    <x v="1"/>
    <x v="0"/>
  </r>
  <r>
    <x v="379"/>
    <x v="7"/>
    <x v="0"/>
    <x v="1"/>
    <n v="127356"/>
    <n v="3"/>
    <s v="LN_380"/>
    <n v="1947951"/>
    <x v="2"/>
    <n v="7.54"/>
    <x v="1"/>
    <n v="2036563.9542572601"/>
    <x v="379"/>
    <n v="17929.12"/>
    <s v="Missed"/>
    <n v="11"/>
    <n v="40"/>
    <x v="0"/>
    <n v="5"/>
    <x v="3"/>
    <x v="0"/>
  </r>
  <r>
    <x v="380"/>
    <x v="13"/>
    <x v="1"/>
    <x v="0"/>
    <n v="125944"/>
    <n v="0"/>
    <s v="LN_381"/>
    <n v="1718531"/>
    <x v="3"/>
    <n v="13.48"/>
    <x v="2"/>
    <n v="0"/>
    <x v="380"/>
    <n v="45057.77"/>
    <s v="On-Time"/>
    <n v="3"/>
    <n v="61"/>
    <x v="1"/>
    <n v="1"/>
    <x v="3"/>
    <x v="0"/>
  </r>
  <r>
    <x v="381"/>
    <x v="20"/>
    <x v="1"/>
    <x v="0"/>
    <n v="219451"/>
    <n v="2"/>
    <s v="LN_382"/>
    <n v="366462"/>
    <x v="0"/>
    <n v="15.15"/>
    <x v="2"/>
    <n v="0"/>
    <x v="381"/>
    <n v="4347.0600000000004"/>
    <s v="Delayed"/>
    <n v="0"/>
    <n v="0"/>
    <x v="0"/>
    <n v="8"/>
    <x v="1"/>
    <x v="0"/>
  </r>
  <r>
    <x v="382"/>
    <x v="13"/>
    <x v="1"/>
    <x v="0"/>
    <n v="160282"/>
    <n v="1"/>
    <s v="LN_383"/>
    <n v="939855"/>
    <x v="3"/>
    <n v="15.29"/>
    <x v="0"/>
    <n v="664531.13510296005"/>
    <x v="382"/>
    <n v="16007.91"/>
    <s v="On-Time"/>
    <n v="1"/>
    <n v="44"/>
    <x v="0"/>
    <n v="0"/>
    <x v="1"/>
    <x v="0"/>
  </r>
  <r>
    <x v="383"/>
    <x v="13"/>
    <x v="1"/>
    <x v="2"/>
    <n v="31456"/>
    <n v="3"/>
    <s v="LN_384"/>
    <n v="1464718"/>
    <x v="3"/>
    <n v="12.83"/>
    <x v="2"/>
    <n v="0"/>
    <x v="383"/>
    <n v="26412.79"/>
    <s v="Delayed"/>
    <n v="2"/>
    <n v="141"/>
    <x v="0"/>
    <n v="9"/>
    <x v="0"/>
    <x v="0"/>
  </r>
  <r>
    <x v="384"/>
    <x v="22"/>
    <x v="0"/>
    <x v="0"/>
    <n v="46367"/>
    <n v="0"/>
    <s v="LN_385"/>
    <n v="110128"/>
    <x v="5"/>
    <n v="11.65"/>
    <x v="2"/>
    <n v="0"/>
    <x v="384"/>
    <n v="4350.67"/>
    <s v="On-Time"/>
    <n v="3"/>
    <n v="19"/>
    <x v="0"/>
    <n v="8"/>
    <x v="2"/>
    <x v="0"/>
  </r>
  <r>
    <x v="385"/>
    <x v="35"/>
    <x v="0"/>
    <x v="0"/>
    <n v="69624"/>
    <n v="1"/>
    <s v="LN_386"/>
    <n v="269128"/>
    <x v="3"/>
    <n v="5.79"/>
    <x v="2"/>
    <n v="0"/>
    <x v="385"/>
    <n v="6050.75"/>
    <s v="On-Time"/>
    <n v="0"/>
    <n v="0"/>
    <x v="0"/>
    <n v="8"/>
    <x v="0"/>
    <x v="0"/>
  </r>
  <r>
    <x v="386"/>
    <x v="2"/>
    <x v="1"/>
    <x v="1"/>
    <n v="156178"/>
    <n v="0"/>
    <s v="LN_387"/>
    <n v="858301"/>
    <x v="4"/>
    <n v="8.74"/>
    <x v="2"/>
    <n v="0"/>
    <x v="386"/>
    <n v="2175.0300000000002"/>
    <s v="On-Time"/>
    <n v="2"/>
    <n v="40"/>
    <x v="1"/>
    <n v="2"/>
    <x v="1"/>
    <x v="0"/>
  </r>
  <r>
    <x v="387"/>
    <x v="3"/>
    <x v="0"/>
    <x v="0"/>
    <n v="249565"/>
    <n v="1"/>
    <s v="LN_388"/>
    <n v="1332116"/>
    <x v="2"/>
    <n v="6.21"/>
    <x v="3"/>
    <n v="1390693.2851124899"/>
    <x v="387"/>
    <n v="10744.36"/>
    <s v="On-Time"/>
    <n v="2"/>
    <n v="0"/>
    <x v="0"/>
    <n v="10"/>
    <x v="0"/>
    <x v="0"/>
  </r>
  <r>
    <x v="388"/>
    <x v="25"/>
    <x v="1"/>
    <x v="2"/>
    <n v="83008"/>
    <n v="1"/>
    <s v="LN_389"/>
    <n v="55039"/>
    <x v="0"/>
    <n v="17.53"/>
    <x v="2"/>
    <n v="0"/>
    <x v="388"/>
    <n v="660.01"/>
    <s v="Delayed"/>
    <n v="0"/>
    <n v="0"/>
    <x v="1"/>
    <n v="0"/>
    <x v="0"/>
    <x v="0"/>
  </r>
  <r>
    <x v="389"/>
    <x v="18"/>
    <x v="0"/>
    <x v="1"/>
    <n v="140926"/>
    <n v="0"/>
    <s v="LN_390"/>
    <n v="202353"/>
    <x v="5"/>
    <n v="6.76"/>
    <x v="2"/>
    <n v="0"/>
    <x v="389"/>
    <n v="6524.44"/>
    <s v="Delayed"/>
    <n v="2"/>
    <n v="104"/>
    <x v="2"/>
    <n v="6"/>
    <x v="1"/>
    <x v="0"/>
  </r>
  <r>
    <x v="390"/>
    <x v="4"/>
    <x v="0"/>
    <x v="1"/>
    <n v="130395"/>
    <n v="3"/>
    <s v="LN_391"/>
    <n v="162935"/>
    <x v="1"/>
    <n v="6.97"/>
    <x v="0"/>
    <n v="119203.087099906"/>
    <x v="390"/>
    <n v="3962.42"/>
    <s v="Missed"/>
    <n v="8"/>
    <n v="115"/>
    <x v="1"/>
    <n v="2"/>
    <x v="3"/>
    <x v="0"/>
  </r>
  <r>
    <x v="391"/>
    <x v="15"/>
    <x v="0"/>
    <x v="1"/>
    <n v="131492"/>
    <n v="3"/>
    <s v="LN_392"/>
    <n v="1633306"/>
    <x v="5"/>
    <n v="16.559999999999999"/>
    <x v="2"/>
    <n v="0"/>
    <x v="391"/>
    <n v="59919.17"/>
    <s v="On-Time"/>
    <n v="2"/>
    <n v="176"/>
    <x v="1"/>
    <n v="3"/>
    <x v="1"/>
    <x v="0"/>
  </r>
  <r>
    <x v="392"/>
    <x v="15"/>
    <x v="0"/>
    <x v="2"/>
    <n v="87240"/>
    <n v="2"/>
    <s v="LN_393"/>
    <n v="1958796"/>
    <x v="4"/>
    <n v="17.27"/>
    <x v="3"/>
    <n v="2642266.6798342499"/>
    <x v="392"/>
    <n v="39186.480000000003"/>
    <s v="Delayed"/>
    <n v="3"/>
    <n v="152"/>
    <x v="1"/>
    <n v="0"/>
    <x v="3"/>
    <x v="0"/>
  </r>
  <r>
    <x v="393"/>
    <x v="41"/>
    <x v="1"/>
    <x v="2"/>
    <n v="79315"/>
    <n v="1"/>
    <s v="LN_394"/>
    <n v="1388306"/>
    <x v="0"/>
    <n v="14.96"/>
    <x v="2"/>
    <n v="0"/>
    <x v="393"/>
    <n v="7243.34"/>
    <s v="Delayed"/>
    <n v="2"/>
    <n v="120"/>
    <x v="0"/>
    <n v="4"/>
    <x v="1"/>
    <x v="0"/>
  </r>
  <r>
    <x v="394"/>
    <x v="0"/>
    <x v="0"/>
    <x v="1"/>
    <n v="215321"/>
    <n v="2"/>
    <s v="LN_395"/>
    <n v="103053"/>
    <x v="2"/>
    <n v="5.07"/>
    <x v="0"/>
    <n v="92466.517090627895"/>
    <x v="394"/>
    <n v="1280.08"/>
    <s v="On-Time"/>
    <n v="3"/>
    <n v="74"/>
    <x v="1"/>
    <n v="2"/>
    <x v="1"/>
    <x v="0"/>
  </r>
  <r>
    <x v="395"/>
    <x v="29"/>
    <x v="0"/>
    <x v="1"/>
    <n v="216659"/>
    <n v="2"/>
    <s v="LN_396"/>
    <n v="1280137"/>
    <x v="1"/>
    <n v="5.0199999999999996"/>
    <x v="0"/>
    <n v="954406.94164470304"/>
    <x v="395"/>
    <n v="19978.77"/>
    <s v="On-Time"/>
    <n v="2"/>
    <n v="8"/>
    <x v="1"/>
    <n v="2"/>
    <x v="1"/>
    <x v="0"/>
  </r>
  <r>
    <x v="396"/>
    <x v="35"/>
    <x v="0"/>
    <x v="0"/>
    <n v="25756"/>
    <n v="0"/>
    <s v="LN_397"/>
    <n v="1837040"/>
    <x v="4"/>
    <n v="9.92"/>
    <x v="3"/>
    <n v="2410795.6861610599"/>
    <x v="396"/>
    <n v="5745.96"/>
    <s v="Delayed"/>
    <n v="1"/>
    <n v="59"/>
    <x v="2"/>
    <n v="1"/>
    <x v="2"/>
    <x v="0"/>
  </r>
  <r>
    <x v="397"/>
    <x v="43"/>
    <x v="0"/>
    <x v="0"/>
    <n v="214083"/>
    <n v="0"/>
    <s v="LN_398"/>
    <n v="136346"/>
    <x v="4"/>
    <n v="6.86"/>
    <x v="0"/>
    <n v="114917.72149536401"/>
    <x v="397"/>
    <n v="614.41"/>
    <s v="Missed"/>
    <n v="3"/>
    <n v="73"/>
    <x v="2"/>
    <n v="9"/>
    <x v="3"/>
    <x v="0"/>
  </r>
  <r>
    <x v="398"/>
    <x v="16"/>
    <x v="1"/>
    <x v="0"/>
    <n v="51378"/>
    <n v="0"/>
    <s v="LN_399"/>
    <n v="379231"/>
    <x v="0"/>
    <n v="5.24"/>
    <x v="1"/>
    <n v="231895.08734678899"/>
    <x v="398"/>
    <n v="960.51"/>
    <s v="Delayed"/>
    <n v="3"/>
    <n v="180"/>
    <x v="1"/>
    <n v="1"/>
    <x v="2"/>
    <x v="0"/>
  </r>
  <r>
    <x v="399"/>
    <x v="33"/>
    <x v="0"/>
    <x v="0"/>
    <n v="150327"/>
    <n v="1"/>
    <s v="LN_400"/>
    <n v="455841"/>
    <x v="4"/>
    <n v="11.03"/>
    <x v="2"/>
    <n v="0"/>
    <x v="399"/>
    <n v="8172"/>
    <s v="On-Time"/>
    <n v="3"/>
    <n v="72"/>
    <x v="1"/>
    <n v="1"/>
    <x v="1"/>
    <x v="0"/>
  </r>
  <r>
    <x v="400"/>
    <x v="11"/>
    <x v="0"/>
    <x v="0"/>
    <n v="160556"/>
    <n v="0"/>
    <s v="LN_401"/>
    <n v="608685"/>
    <x v="0"/>
    <n v="17.260000000000002"/>
    <x v="2"/>
    <n v="0"/>
    <x v="400"/>
    <n v="1553.62"/>
    <s v="On-Time"/>
    <n v="1"/>
    <n v="179"/>
    <x v="0"/>
    <n v="10"/>
    <x v="0"/>
    <x v="0"/>
  </r>
  <r>
    <x v="401"/>
    <x v="24"/>
    <x v="0"/>
    <x v="0"/>
    <n v="140703"/>
    <n v="0"/>
    <s v="LN_402"/>
    <n v="1419391"/>
    <x v="0"/>
    <n v="9.2100000000000009"/>
    <x v="2"/>
    <n v="0"/>
    <x v="401"/>
    <n v="8149.62"/>
    <s v="On-Time"/>
    <n v="2"/>
    <n v="116"/>
    <x v="2"/>
    <n v="7"/>
    <x v="2"/>
    <x v="0"/>
  </r>
  <r>
    <x v="402"/>
    <x v="42"/>
    <x v="1"/>
    <x v="0"/>
    <n v="71549"/>
    <n v="1"/>
    <s v="LN_403"/>
    <n v="166214"/>
    <x v="5"/>
    <n v="13.59"/>
    <x v="1"/>
    <n v="177917.04320416501"/>
    <x v="402"/>
    <n v="1339.27"/>
    <s v="Delayed"/>
    <n v="3"/>
    <n v="18"/>
    <x v="1"/>
    <n v="1"/>
    <x v="3"/>
    <x v="0"/>
  </r>
  <r>
    <x v="403"/>
    <x v="22"/>
    <x v="0"/>
    <x v="1"/>
    <n v="180575"/>
    <n v="1"/>
    <s v="LN_404"/>
    <n v="535001"/>
    <x v="0"/>
    <n v="13.48"/>
    <x v="2"/>
    <n v="0"/>
    <x v="403"/>
    <n v="3262.43"/>
    <s v="Delayed"/>
    <n v="0"/>
    <n v="0"/>
    <x v="0"/>
    <n v="1"/>
    <x v="1"/>
    <x v="0"/>
  </r>
  <r>
    <x v="404"/>
    <x v="16"/>
    <x v="1"/>
    <x v="2"/>
    <n v="88794"/>
    <n v="3"/>
    <s v="LN_405"/>
    <n v="903329"/>
    <x v="5"/>
    <n v="8.26"/>
    <x v="2"/>
    <n v="0"/>
    <x v="404"/>
    <n v="6831.56"/>
    <s v="On-Time"/>
    <n v="2"/>
    <n v="175"/>
    <x v="1"/>
    <n v="2"/>
    <x v="2"/>
    <x v="0"/>
  </r>
  <r>
    <x v="405"/>
    <x v="6"/>
    <x v="1"/>
    <x v="0"/>
    <n v="246804"/>
    <n v="0"/>
    <s v="LN_406"/>
    <n v="1780085"/>
    <x v="0"/>
    <n v="13.46"/>
    <x v="2"/>
    <n v="0"/>
    <x v="405"/>
    <n v="20803.349999999999"/>
    <s v="Delayed"/>
    <n v="2"/>
    <n v="59"/>
    <x v="0"/>
    <n v="8"/>
    <x v="0"/>
    <x v="0"/>
  </r>
  <r>
    <x v="406"/>
    <x v="34"/>
    <x v="0"/>
    <x v="0"/>
    <n v="60113"/>
    <n v="0"/>
    <s v="LN_407"/>
    <n v="1037410"/>
    <x v="3"/>
    <n v="7.76"/>
    <x v="2"/>
    <n v="0"/>
    <x v="406"/>
    <n v="6339.56"/>
    <s v="On-Time"/>
    <n v="1"/>
    <n v="67"/>
    <x v="0"/>
    <n v="5"/>
    <x v="2"/>
    <x v="0"/>
  </r>
  <r>
    <x v="407"/>
    <x v="6"/>
    <x v="0"/>
    <x v="1"/>
    <n v="89069"/>
    <n v="0"/>
    <s v="LN_408"/>
    <n v="1497075"/>
    <x v="4"/>
    <n v="6.59"/>
    <x v="2"/>
    <n v="0"/>
    <x v="407"/>
    <n v="27030.35"/>
    <s v="Missed"/>
    <n v="6"/>
    <n v="160"/>
    <x v="1"/>
    <n v="0"/>
    <x v="3"/>
    <x v="0"/>
  </r>
  <r>
    <x v="408"/>
    <x v="23"/>
    <x v="0"/>
    <x v="0"/>
    <n v="244189"/>
    <n v="3"/>
    <s v="LN_409"/>
    <n v="450826"/>
    <x v="2"/>
    <n v="14.12"/>
    <x v="3"/>
    <n v="487597.26402996102"/>
    <x v="408"/>
    <n v="5231.28"/>
    <s v="On-Time"/>
    <n v="2"/>
    <n v="150"/>
    <x v="1"/>
    <n v="2"/>
    <x v="2"/>
    <x v="0"/>
  </r>
  <r>
    <x v="409"/>
    <x v="31"/>
    <x v="0"/>
    <x v="1"/>
    <n v="151321"/>
    <n v="0"/>
    <s v="LN_410"/>
    <n v="486542"/>
    <x v="2"/>
    <n v="6.47"/>
    <x v="0"/>
    <n v="591000.46322054497"/>
    <x v="409"/>
    <n v="758.84"/>
    <s v="On-Time"/>
    <n v="3"/>
    <n v="169"/>
    <x v="2"/>
    <n v="9"/>
    <x v="0"/>
    <x v="1"/>
  </r>
  <r>
    <x v="410"/>
    <x v="25"/>
    <x v="1"/>
    <x v="0"/>
    <n v="165273"/>
    <n v="3"/>
    <s v="LN_411"/>
    <n v="1375644"/>
    <x v="0"/>
    <n v="17.96"/>
    <x v="0"/>
    <n v="1018278.42197652"/>
    <x v="410"/>
    <n v="20775.75"/>
    <s v="On-Time"/>
    <n v="3"/>
    <n v="50"/>
    <x v="0"/>
    <n v="3"/>
    <x v="0"/>
    <x v="0"/>
  </r>
  <r>
    <x v="411"/>
    <x v="31"/>
    <x v="1"/>
    <x v="0"/>
    <n v="140541"/>
    <n v="2"/>
    <s v="LN_412"/>
    <n v="687431"/>
    <x v="4"/>
    <n v="7.38"/>
    <x v="1"/>
    <n v="648777.67540352105"/>
    <x v="411"/>
    <n v="1805.22"/>
    <s v="On-Time"/>
    <n v="3"/>
    <n v="108"/>
    <x v="1"/>
    <n v="3"/>
    <x v="3"/>
    <x v="0"/>
  </r>
  <r>
    <x v="412"/>
    <x v="7"/>
    <x v="0"/>
    <x v="2"/>
    <n v="204648"/>
    <n v="3"/>
    <s v="LN_413"/>
    <n v="422397"/>
    <x v="0"/>
    <n v="12.72"/>
    <x v="2"/>
    <n v="0"/>
    <x v="412"/>
    <n v="2222.38"/>
    <s v="On-Time"/>
    <n v="1"/>
    <n v="29"/>
    <x v="0"/>
    <n v="8"/>
    <x v="0"/>
    <x v="0"/>
  </r>
  <r>
    <x v="413"/>
    <x v="27"/>
    <x v="0"/>
    <x v="0"/>
    <n v="24686"/>
    <n v="2"/>
    <s v="LN_414"/>
    <n v="412441"/>
    <x v="4"/>
    <n v="10.35"/>
    <x v="2"/>
    <n v="0"/>
    <x v="413"/>
    <n v="1109.73"/>
    <s v="On-Time"/>
    <n v="3"/>
    <n v="139"/>
    <x v="0"/>
    <n v="9"/>
    <x v="1"/>
    <x v="0"/>
  </r>
  <r>
    <x v="414"/>
    <x v="19"/>
    <x v="0"/>
    <x v="1"/>
    <n v="68363"/>
    <n v="0"/>
    <s v="LN_415"/>
    <n v="1885877"/>
    <x v="2"/>
    <n v="6.64"/>
    <x v="2"/>
    <n v="0"/>
    <x v="414"/>
    <n v="10536.27"/>
    <s v="On-Time"/>
    <n v="1"/>
    <n v="57"/>
    <x v="1"/>
    <n v="0"/>
    <x v="0"/>
    <x v="0"/>
  </r>
  <r>
    <x v="415"/>
    <x v="40"/>
    <x v="1"/>
    <x v="1"/>
    <n v="112543"/>
    <n v="2"/>
    <s v="LN_416"/>
    <n v="933520"/>
    <x v="3"/>
    <n v="5.36"/>
    <x v="2"/>
    <n v="0"/>
    <x v="415"/>
    <n v="14585.73"/>
    <s v="Delayed"/>
    <n v="0"/>
    <n v="0"/>
    <x v="0"/>
    <n v="9"/>
    <x v="1"/>
    <x v="0"/>
  </r>
  <r>
    <x v="416"/>
    <x v="40"/>
    <x v="0"/>
    <x v="0"/>
    <n v="146733"/>
    <n v="3"/>
    <s v="LN_417"/>
    <n v="1886022"/>
    <x v="2"/>
    <n v="13.1"/>
    <x v="0"/>
    <n v="1475563.10740867"/>
    <x v="416"/>
    <n v="21400.6"/>
    <s v="On-Time"/>
    <n v="2"/>
    <n v="165"/>
    <x v="1"/>
    <n v="2"/>
    <x v="2"/>
    <x v="0"/>
  </r>
  <r>
    <x v="417"/>
    <x v="36"/>
    <x v="0"/>
    <x v="1"/>
    <n v="190915"/>
    <n v="1"/>
    <s v="LN_418"/>
    <n v="584391"/>
    <x v="2"/>
    <n v="15.49"/>
    <x v="2"/>
    <n v="0"/>
    <x v="417"/>
    <n v="3280.57"/>
    <s v="On-Time"/>
    <n v="2"/>
    <n v="38"/>
    <x v="2"/>
    <n v="0"/>
    <x v="1"/>
    <x v="0"/>
  </r>
  <r>
    <x v="418"/>
    <x v="43"/>
    <x v="1"/>
    <x v="2"/>
    <n v="110673"/>
    <n v="2"/>
    <s v="LN_419"/>
    <n v="1574314"/>
    <x v="0"/>
    <n v="15.95"/>
    <x v="2"/>
    <n v="0"/>
    <x v="418"/>
    <n v="19283.8"/>
    <s v="On-Time"/>
    <n v="0"/>
    <n v="0"/>
    <x v="1"/>
    <n v="1"/>
    <x v="1"/>
    <x v="0"/>
  </r>
  <r>
    <x v="419"/>
    <x v="20"/>
    <x v="1"/>
    <x v="0"/>
    <n v="207035"/>
    <n v="2"/>
    <s v="LN_420"/>
    <n v="1995325"/>
    <x v="3"/>
    <n v="11.28"/>
    <x v="0"/>
    <n v="1159191.51351504"/>
    <x v="419"/>
    <n v="14895.88"/>
    <s v="Delayed"/>
    <n v="1"/>
    <n v="68"/>
    <x v="1"/>
    <n v="2"/>
    <x v="2"/>
    <x v="0"/>
  </r>
  <r>
    <x v="420"/>
    <x v="11"/>
    <x v="0"/>
    <x v="1"/>
    <n v="57828"/>
    <n v="0"/>
    <s v="LN_421"/>
    <n v="476674"/>
    <x v="5"/>
    <n v="15.11"/>
    <x v="3"/>
    <n v="656196.01937897305"/>
    <x v="420"/>
    <n v="15403.3"/>
    <s v="On-Time"/>
    <n v="2"/>
    <n v="36"/>
    <x v="1"/>
    <n v="2"/>
    <x v="0"/>
    <x v="0"/>
  </r>
  <r>
    <x v="421"/>
    <x v="40"/>
    <x v="1"/>
    <x v="0"/>
    <n v="63604"/>
    <n v="3"/>
    <s v="LN_422"/>
    <n v="1058109"/>
    <x v="2"/>
    <n v="13.75"/>
    <x v="1"/>
    <n v="1300278.19995735"/>
    <x v="421"/>
    <n v="4590.97"/>
    <s v="Missed"/>
    <n v="3"/>
    <n v="18"/>
    <x v="0"/>
    <n v="5"/>
    <x v="1"/>
    <x v="0"/>
  </r>
  <r>
    <x v="422"/>
    <x v="24"/>
    <x v="1"/>
    <x v="1"/>
    <n v="25526"/>
    <n v="2"/>
    <s v="LN_423"/>
    <n v="132409"/>
    <x v="5"/>
    <n v="14.42"/>
    <x v="1"/>
    <n v="106120.92223988"/>
    <x v="422"/>
    <n v="1264.45"/>
    <s v="Delayed"/>
    <n v="1"/>
    <n v="15"/>
    <x v="0"/>
    <n v="5"/>
    <x v="0"/>
    <x v="0"/>
  </r>
  <r>
    <x v="423"/>
    <x v="0"/>
    <x v="0"/>
    <x v="1"/>
    <n v="83910"/>
    <n v="2"/>
    <s v="LN_424"/>
    <n v="1121824"/>
    <x v="2"/>
    <n v="11.4"/>
    <x v="1"/>
    <n v="1233303.0083556201"/>
    <x v="423"/>
    <n v="4158.04"/>
    <s v="On-Time"/>
    <n v="1"/>
    <n v="42"/>
    <x v="0"/>
    <n v="0"/>
    <x v="2"/>
    <x v="0"/>
  </r>
  <r>
    <x v="424"/>
    <x v="41"/>
    <x v="0"/>
    <x v="0"/>
    <n v="40592"/>
    <n v="2"/>
    <s v="LN_425"/>
    <n v="1580952"/>
    <x v="4"/>
    <n v="13.23"/>
    <x v="2"/>
    <n v="0"/>
    <x v="424"/>
    <n v="8690.52"/>
    <s v="On-Time"/>
    <n v="0"/>
    <n v="0"/>
    <x v="0"/>
    <n v="2"/>
    <x v="3"/>
    <x v="0"/>
  </r>
  <r>
    <x v="425"/>
    <x v="13"/>
    <x v="0"/>
    <x v="2"/>
    <n v="43982"/>
    <n v="2"/>
    <s v="LN_426"/>
    <n v="748876"/>
    <x v="3"/>
    <n v="15.47"/>
    <x v="1"/>
    <n v="525159.62060299097"/>
    <x v="425"/>
    <n v="11681.98"/>
    <s v="On-Time"/>
    <n v="0"/>
    <n v="0"/>
    <x v="1"/>
    <n v="1"/>
    <x v="0"/>
    <x v="0"/>
  </r>
  <r>
    <x v="426"/>
    <x v="1"/>
    <x v="0"/>
    <x v="2"/>
    <n v="15207"/>
    <n v="1"/>
    <s v="LN_427"/>
    <n v="1778106"/>
    <x v="2"/>
    <n v="10.17"/>
    <x v="2"/>
    <n v="0"/>
    <x v="426"/>
    <n v="21246.34"/>
    <s v="On-Time"/>
    <n v="1"/>
    <n v="78"/>
    <x v="2"/>
    <n v="9"/>
    <x v="0"/>
    <x v="1"/>
  </r>
  <r>
    <x v="427"/>
    <x v="12"/>
    <x v="1"/>
    <x v="1"/>
    <n v="247041"/>
    <n v="3"/>
    <s v="LN_428"/>
    <n v="1106600"/>
    <x v="4"/>
    <n v="15.48"/>
    <x v="0"/>
    <n v="1538435.8456792"/>
    <x v="427"/>
    <n v="3957.12"/>
    <s v="Delayed"/>
    <n v="3"/>
    <n v="152"/>
    <x v="1"/>
    <n v="3"/>
    <x v="3"/>
    <x v="0"/>
  </r>
  <r>
    <x v="428"/>
    <x v="19"/>
    <x v="1"/>
    <x v="1"/>
    <n v="103733"/>
    <n v="0"/>
    <s v="LN_429"/>
    <n v="525430"/>
    <x v="4"/>
    <n v="12.7"/>
    <x v="0"/>
    <n v="323090.239992649"/>
    <x v="428"/>
    <n v="8059.45"/>
    <s v="Missed"/>
    <n v="9"/>
    <n v="145"/>
    <x v="0"/>
    <n v="1"/>
    <x v="3"/>
    <x v="0"/>
  </r>
  <r>
    <x v="429"/>
    <x v="31"/>
    <x v="0"/>
    <x v="1"/>
    <n v="245008"/>
    <n v="0"/>
    <s v="LN_430"/>
    <n v="1333440"/>
    <x v="4"/>
    <n v="7.16"/>
    <x v="2"/>
    <n v="0"/>
    <x v="429"/>
    <n v="19137.97"/>
    <s v="On-Time"/>
    <n v="0"/>
    <n v="0"/>
    <x v="1"/>
    <n v="1"/>
    <x v="2"/>
    <x v="0"/>
  </r>
  <r>
    <x v="430"/>
    <x v="24"/>
    <x v="0"/>
    <x v="0"/>
    <n v="139982"/>
    <n v="1"/>
    <s v="LN_431"/>
    <n v="1970955"/>
    <x v="3"/>
    <n v="5.32"/>
    <x v="1"/>
    <n v="993040.34112432797"/>
    <x v="430"/>
    <n v="48467.31"/>
    <s v="On-Time"/>
    <n v="3"/>
    <n v="73"/>
    <x v="0"/>
    <n v="10"/>
    <x v="0"/>
    <x v="0"/>
  </r>
  <r>
    <x v="431"/>
    <x v="25"/>
    <x v="0"/>
    <x v="1"/>
    <n v="83619"/>
    <n v="3"/>
    <s v="LN_432"/>
    <n v="1273451"/>
    <x v="0"/>
    <n v="9.7200000000000006"/>
    <x v="3"/>
    <n v="1276008.3414191599"/>
    <x v="431"/>
    <n v="6786.07"/>
    <s v="Delayed"/>
    <n v="3"/>
    <n v="112"/>
    <x v="0"/>
    <n v="0"/>
    <x v="0"/>
    <x v="0"/>
  </r>
  <r>
    <x v="432"/>
    <x v="13"/>
    <x v="0"/>
    <x v="0"/>
    <n v="175400"/>
    <n v="2"/>
    <s v="LN_433"/>
    <n v="986800"/>
    <x v="3"/>
    <n v="12.11"/>
    <x v="2"/>
    <n v="0"/>
    <x v="432"/>
    <n v="13845.32"/>
    <s v="Delayed"/>
    <n v="1"/>
    <n v="31"/>
    <x v="0"/>
    <n v="1"/>
    <x v="2"/>
    <x v="0"/>
  </r>
  <r>
    <x v="433"/>
    <x v="1"/>
    <x v="1"/>
    <x v="0"/>
    <n v="61479"/>
    <n v="1"/>
    <s v="LN_434"/>
    <n v="1452549"/>
    <x v="2"/>
    <n v="15.92"/>
    <x v="1"/>
    <n v="1573296.2368286401"/>
    <x v="433"/>
    <n v="18827.55"/>
    <s v="On-Time"/>
    <n v="3"/>
    <n v="119"/>
    <x v="1"/>
    <n v="1"/>
    <x v="0"/>
    <x v="0"/>
  </r>
  <r>
    <x v="434"/>
    <x v="30"/>
    <x v="0"/>
    <x v="1"/>
    <n v="166175"/>
    <n v="3"/>
    <s v="LN_435"/>
    <n v="1977716"/>
    <x v="2"/>
    <n v="6.66"/>
    <x v="2"/>
    <n v="0"/>
    <x v="434"/>
    <n v="19062.82"/>
    <s v="On-Time"/>
    <n v="3"/>
    <n v="176"/>
    <x v="1"/>
    <n v="3"/>
    <x v="1"/>
    <x v="0"/>
  </r>
  <r>
    <x v="435"/>
    <x v="23"/>
    <x v="0"/>
    <x v="0"/>
    <n v="185963"/>
    <n v="2"/>
    <s v="LN_436"/>
    <n v="1971672"/>
    <x v="3"/>
    <n v="15.4"/>
    <x v="0"/>
    <n v="2127365.7109982702"/>
    <x v="435"/>
    <n v="24639.96"/>
    <s v="On-Time"/>
    <n v="3"/>
    <n v="77"/>
    <x v="1"/>
    <n v="3"/>
    <x v="1"/>
    <x v="0"/>
  </r>
  <r>
    <x v="436"/>
    <x v="41"/>
    <x v="0"/>
    <x v="0"/>
    <n v="156826"/>
    <n v="1"/>
    <s v="LN_437"/>
    <n v="1510049"/>
    <x v="0"/>
    <n v="16.22"/>
    <x v="0"/>
    <n v="837340.181515562"/>
    <x v="436"/>
    <n v="5493.34"/>
    <s v="Delayed"/>
    <n v="1"/>
    <n v="179"/>
    <x v="0"/>
    <n v="7"/>
    <x v="1"/>
    <x v="0"/>
  </r>
  <r>
    <x v="437"/>
    <x v="16"/>
    <x v="1"/>
    <x v="0"/>
    <n v="246055"/>
    <n v="3"/>
    <s v="LN_438"/>
    <n v="1242503"/>
    <x v="4"/>
    <n v="6.96"/>
    <x v="0"/>
    <n v="1011451.87222757"/>
    <x v="437"/>
    <n v="8703.64"/>
    <s v="On-Time"/>
    <n v="1"/>
    <n v="103"/>
    <x v="1"/>
    <n v="2"/>
    <x v="0"/>
    <x v="0"/>
  </r>
  <r>
    <x v="438"/>
    <x v="41"/>
    <x v="0"/>
    <x v="0"/>
    <n v="96437"/>
    <n v="0"/>
    <s v="LN_439"/>
    <n v="1183754"/>
    <x v="3"/>
    <n v="16.07"/>
    <x v="3"/>
    <n v="1182805.75011921"/>
    <x v="438"/>
    <n v="20488.61"/>
    <s v="On-Time"/>
    <n v="0"/>
    <n v="0"/>
    <x v="2"/>
    <n v="2"/>
    <x v="1"/>
    <x v="0"/>
  </r>
  <r>
    <x v="439"/>
    <x v="19"/>
    <x v="1"/>
    <x v="1"/>
    <n v="113540"/>
    <n v="0"/>
    <s v="LN_440"/>
    <n v="1097380"/>
    <x v="2"/>
    <n v="17.89"/>
    <x v="1"/>
    <n v="786359.66672362201"/>
    <x v="439"/>
    <n v="11375.43"/>
    <s v="Missed"/>
    <n v="12"/>
    <n v="69"/>
    <x v="1"/>
    <n v="2"/>
    <x v="1"/>
    <x v="0"/>
  </r>
  <r>
    <x v="440"/>
    <x v="24"/>
    <x v="0"/>
    <x v="0"/>
    <n v="87982"/>
    <n v="3"/>
    <s v="LN_441"/>
    <n v="937553"/>
    <x v="1"/>
    <n v="14.45"/>
    <x v="1"/>
    <n v="1286909.5168149599"/>
    <x v="440"/>
    <n v="16561.849999999999"/>
    <s v="Delayed"/>
    <n v="0"/>
    <n v="0"/>
    <x v="1"/>
    <n v="2"/>
    <x v="2"/>
    <x v="0"/>
  </r>
  <r>
    <x v="441"/>
    <x v="31"/>
    <x v="1"/>
    <x v="1"/>
    <n v="117747"/>
    <n v="0"/>
    <s v="LN_442"/>
    <n v="1615116"/>
    <x v="3"/>
    <n v="15.2"/>
    <x v="2"/>
    <n v="0"/>
    <x v="441"/>
    <n v="28696.91"/>
    <s v="Delayed"/>
    <n v="3"/>
    <n v="128"/>
    <x v="0"/>
    <n v="5"/>
    <x v="2"/>
    <x v="0"/>
  </r>
  <r>
    <x v="442"/>
    <x v="31"/>
    <x v="1"/>
    <x v="0"/>
    <n v="201994"/>
    <n v="3"/>
    <s v="LN_443"/>
    <n v="856457"/>
    <x v="4"/>
    <n v="17.93"/>
    <x v="3"/>
    <n v="502833.86072427098"/>
    <x v="442"/>
    <n v="10622.14"/>
    <s v="On-Time"/>
    <n v="1"/>
    <n v="138"/>
    <x v="1"/>
    <n v="0"/>
    <x v="3"/>
    <x v="0"/>
  </r>
  <r>
    <x v="443"/>
    <x v="5"/>
    <x v="0"/>
    <x v="1"/>
    <n v="63231"/>
    <n v="2"/>
    <s v="LN_444"/>
    <n v="1496250"/>
    <x v="4"/>
    <n v="12.87"/>
    <x v="2"/>
    <n v="0"/>
    <x v="443"/>
    <n v="17536.05"/>
    <s v="On-Time"/>
    <n v="1"/>
    <n v="126"/>
    <x v="2"/>
    <n v="0"/>
    <x v="3"/>
    <x v="0"/>
  </r>
  <r>
    <x v="444"/>
    <x v="0"/>
    <x v="0"/>
    <x v="0"/>
    <n v="44301"/>
    <n v="3"/>
    <s v="LN_445"/>
    <n v="1162186"/>
    <x v="4"/>
    <n v="9"/>
    <x v="1"/>
    <n v="1147524.3747290601"/>
    <x v="444"/>
    <n v="17459.689999999999"/>
    <s v="Missed"/>
    <n v="12"/>
    <n v="112"/>
    <x v="0"/>
    <n v="2"/>
    <x v="3"/>
    <x v="0"/>
  </r>
  <r>
    <x v="445"/>
    <x v="10"/>
    <x v="1"/>
    <x v="0"/>
    <n v="237724"/>
    <n v="2"/>
    <s v="LN_446"/>
    <n v="1693707"/>
    <x v="0"/>
    <n v="15.89"/>
    <x v="2"/>
    <n v="0"/>
    <x v="445"/>
    <n v="24098.76"/>
    <s v="On-Time"/>
    <n v="3"/>
    <n v="20"/>
    <x v="1"/>
    <n v="1"/>
    <x v="3"/>
    <x v="0"/>
  </r>
  <r>
    <x v="446"/>
    <x v="18"/>
    <x v="1"/>
    <x v="1"/>
    <n v="208783"/>
    <n v="1"/>
    <s v="LN_447"/>
    <n v="681525"/>
    <x v="4"/>
    <n v="12.99"/>
    <x v="2"/>
    <n v="0"/>
    <x v="446"/>
    <n v="5547.2"/>
    <s v="On-Time"/>
    <n v="0"/>
    <n v="0"/>
    <x v="1"/>
    <n v="0"/>
    <x v="2"/>
    <x v="0"/>
  </r>
  <r>
    <x v="447"/>
    <x v="16"/>
    <x v="0"/>
    <x v="1"/>
    <n v="187395"/>
    <n v="3"/>
    <s v="LN_448"/>
    <n v="1575753"/>
    <x v="4"/>
    <n v="12.56"/>
    <x v="0"/>
    <n v="1877377.42687452"/>
    <x v="447"/>
    <n v="29549.01"/>
    <s v="On-Time"/>
    <n v="1"/>
    <n v="153"/>
    <x v="1"/>
    <n v="0"/>
    <x v="2"/>
    <x v="0"/>
  </r>
  <r>
    <x v="448"/>
    <x v="25"/>
    <x v="0"/>
    <x v="0"/>
    <n v="33752"/>
    <n v="1"/>
    <s v="LN_449"/>
    <n v="1803767"/>
    <x v="1"/>
    <n v="8.3000000000000007"/>
    <x v="2"/>
    <n v="0"/>
    <x v="448"/>
    <n v="36762.31"/>
    <s v="On-Time"/>
    <n v="0"/>
    <n v="0"/>
    <x v="1"/>
    <n v="2"/>
    <x v="2"/>
    <x v="0"/>
  </r>
  <r>
    <x v="449"/>
    <x v="7"/>
    <x v="1"/>
    <x v="0"/>
    <n v="243984"/>
    <n v="0"/>
    <s v="LN_450"/>
    <n v="748787"/>
    <x v="3"/>
    <n v="14.83"/>
    <x v="2"/>
    <n v="0"/>
    <x v="449"/>
    <n v="5318.91"/>
    <s v="On-Time"/>
    <n v="3"/>
    <n v="10"/>
    <x v="0"/>
    <n v="7"/>
    <x v="1"/>
    <x v="0"/>
  </r>
  <r>
    <x v="450"/>
    <x v="37"/>
    <x v="0"/>
    <x v="0"/>
    <n v="228277"/>
    <n v="2"/>
    <s v="LN_451"/>
    <n v="1585601"/>
    <x v="5"/>
    <n v="6.06"/>
    <x v="2"/>
    <n v="0"/>
    <x v="450"/>
    <n v="22468.95"/>
    <s v="Delayed"/>
    <n v="1"/>
    <n v="110"/>
    <x v="1"/>
    <n v="3"/>
    <x v="1"/>
    <x v="0"/>
  </r>
  <r>
    <x v="451"/>
    <x v="41"/>
    <x v="0"/>
    <x v="0"/>
    <n v="113452"/>
    <n v="3"/>
    <s v="LN_452"/>
    <n v="1753163"/>
    <x v="3"/>
    <n v="17.02"/>
    <x v="2"/>
    <n v="0"/>
    <x v="451"/>
    <n v="10108.82"/>
    <s v="Missed"/>
    <n v="12"/>
    <n v="82"/>
    <x v="1"/>
    <n v="3"/>
    <x v="3"/>
    <x v="0"/>
  </r>
  <r>
    <x v="452"/>
    <x v="10"/>
    <x v="1"/>
    <x v="1"/>
    <n v="159467"/>
    <n v="1"/>
    <s v="LN_453"/>
    <n v="1530298"/>
    <x v="4"/>
    <n v="9.24"/>
    <x v="2"/>
    <n v="0"/>
    <x v="452"/>
    <n v="9796.69"/>
    <s v="Missed"/>
    <n v="7"/>
    <n v="154"/>
    <x v="1"/>
    <n v="3"/>
    <x v="1"/>
    <x v="0"/>
  </r>
  <r>
    <x v="453"/>
    <x v="36"/>
    <x v="0"/>
    <x v="0"/>
    <n v="232029"/>
    <n v="2"/>
    <s v="LN_454"/>
    <n v="1104244"/>
    <x v="5"/>
    <n v="6.66"/>
    <x v="2"/>
    <n v="0"/>
    <x v="453"/>
    <n v="9007.44"/>
    <s v="On-Time"/>
    <n v="2"/>
    <n v="64"/>
    <x v="1"/>
    <n v="3"/>
    <x v="0"/>
    <x v="0"/>
  </r>
  <r>
    <x v="454"/>
    <x v="38"/>
    <x v="0"/>
    <x v="0"/>
    <n v="136237"/>
    <n v="2"/>
    <s v="LN_455"/>
    <n v="1321118"/>
    <x v="3"/>
    <n v="10.75"/>
    <x v="0"/>
    <n v="1006363.08990747"/>
    <x v="454"/>
    <n v="30810.57"/>
    <s v="On-Time"/>
    <n v="3"/>
    <n v="6"/>
    <x v="1"/>
    <n v="2"/>
    <x v="2"/>
    <x v="0"/>
  </r>
  <r>
    <x v="455"/>
    <x v="37"/>
    <x v="0"/>
    <x v="0"/>
    <n v="71273"/>
    <n v="0"/>
    <s v="LN_456"/>
    <n v="228267"/>
    <x v="5"/>
    <n v="5.55"/>
    <x v="2"/>
    <n v="0"/>
    <x v="455"/>
    <n v="2140.69"/>
    <s v="On-Time"/>
    <n v="3"/>
    <n v="23"/>
    <x v="0"/>
    <n v="3"/>
    <x v="3"/>
    <x v="0"/>
  </r>
  <r>
    <x v="456"/>
    <x v="6"/>
    <x v="0"/>
    <x v="0"/>
    <n v="106878"/>
    <n v="0"/>
    <s v="LN_457"/>
    <n v="1958241"/>
    <x v="2"/>
    <n v="13.9"/>
    <x v="0"/>
    <n v="2201534.3050587601"/>
    <x v="456"/>
    <n v="21012.14"/>
    <s v="Delayed"/>
    <n v="3"/>
    <n v="58"/>
    <x v="0"/>
    <n v="8"/>
    <x v="3"/>
    <x v="0"/>
  </r>
  <r>
    <x v="457"/>
    <x v="43"/>
    <x v="0"/>
    <x v="0"/>
    <n v="19895"/>
    <n v="2"/>
    <s v="LN_458"/>
    <n v="205489"/>
    <x v="2"/>
    <n v="16.739999999999998"/>
    <x v="2"/>
    <n v="0"/>
    <x v="457"/>
    <n v="408.47"/>
    <s v="On-Time"/>
    <n v="1"/>
    <n v="172"/>
    <x v="0"/>
    <n v="1"/>
    <x v="0"/>
    <x v="0"/>
  </r>
  <r>
    <x v="458"/>
    <x v="40"/>
    <x v="1"/>
    <x v="0"/>
    <n v="134968"/>
    <n v="2"/>
    <s v="LN_459"/>
    <n v="394126"/>
    <x v="4"/>
    <n v="15.88"/>
    <x v="3"/>
    <n v="523945.25168501399"/>
    <x v="458"/>
    <n v="7830.53"/>
    <s v="Delayed"/>
    <n v="3"/>
    <n v="147"/>
    <x v="0"/>
    <n v="5"/>
    <x v="1"/>
    <x v="0"/>
  </r>
  <r>
    <x v="459"/>
    <x v="41"/>
    <x v="0"/>
    <x v="0"/>
    <n v="130700"/>
    <n v="3"/>
    <s v="LN_460"/>
    <n v="1728997"/>
    <x v="2"/>
    <n v="6.66"/>
    <x v="1"/>
    <n v="1193590.5589284101"/>
    <x v="459"/>
    <n v="17771.310000000001"/>
    <s v="Delayed"/>
    <n v="3"/>
    <n v="150"/>
    <x v="1"/>
    <n v="3"/>
    <x v="3"/>
    <x v="0"/>
  </r>
  <r>
    <x v="460"/>
    <x v="29"/>
    <x v="0"/>
    <x v="0"/>
    <n v="91559"/>
    <n v="2"/>
    <s v="LN_461"/>
    <n v="1895759"/>
    <x v="0"/>
    <n v="6.64"/>
    <x v="2"/>
    <n v="0"/>
    <x v="460"/>
    <n v="3352.87"/>
    <s v="On-Time"/>
    <n v="2"/>
    <n v="5"/>
    <x v="0"/>
    <n v="1"/>
    <x v="1"/>
    <x v="0"/>
  </r>
  <r>
    <x v="461"/>
    <x v="24"/>
    <x v="0"/>
    <x v="1"/>
    <n v="25699"/>
    <n v="3"/>
    <s v="LN_462"/>
    <n v="358362"/>
    <x v="4"/>
    <n v="15.57"/>
    <x v="1"/>
    <n v="507878.00572754198"/>
    <x v="461"/>
    <n v="5879.16"/>
    <s v="On-Time"/>
    <n v="1"/>
    <n v="172"/>
    <x v="1"/>
    <n v="2"/>
    <x v="1"/>
    <x v="0"/>
  </r>
  <r>
    <x v="462"/>
    <x v="9"/>
    <x v="0"/>
    <x v="0"/>
    <n v="211133"/>
    <n v="2"/>
    <s v="LN_463"/>
    <n v="963081"/>
    <x v="1"/>
    <n v="17.02"/>
    <x v="1"/>
    <n v="1014662.205195"/>
    <x v="462"/>
    <n v="45158.36"/>
    <s v="Missed"/>
    <n v="10"/>
    <n v="68"/>
    <x v="1"/>
    <n v="3"/>
    <x v="0"/>
    <x v="0"/>
  </r>
  <r>
    <x v="463"/>
    <x v="24"/>
    <x v="1"/>
    <x v="2"/>
    <n v="24715"/>
    <n v="0"/>
    <s v="LN_464"/>
    <n v="1892360"/>
    <x v="0"/>
    <n v="10.99"/>
    <x v="3"/>
    <n v="1512434.6756591599"/>
    <x v="463"/>
    <n v="25276.53"/>
    <s v="Missed"/>
    <n v="4"/>
    <n v="147"/>
    <x v="1"/>
    <n v="2"/>
    <x v="3"/>
    <x v="0"/>
  </r>
  <r>
    <x v="464"/>
    <x v="14"/>
    <x v="0"/>
    <x v="0"/>
    <n v="34169"/>
    <n v="3"/>
    <s v="LN_465"/>
    <n v="1832988"/>
    <x v="0"/>
    <n v="11.49"/>
    <x v="0"/>
    <n v="1706252.0484764001"/>
    <x v="464"/>
    <n v="17420.939999999999"/>
    <s v="On-Time"/>
    <n v="3"/>
    <n v="10"/>
    <x v="1"/>
    <n v="0"/>
    <x v="1"/>
    <x v="0"/>
  </r>
  <r>
    <x v="465"/>
    <x v="23"/>
    <x v="0"/>
    <x v="1"/>
    <n v="133413"/>
    <n v="1"/>
    <s v="LN_466"/>
    <n v="1187411"/>
    <x v="4"/>
    <n v="9.14"/>
    <x v="2"/>
    <n v="0"/>
    <x v="465"/>
    <n v="16745.52"/>
    <s v="On-Time"/>
    <n v="1"/>
    <n v="44"/>
    <x v="0"/>
    <n v="3"/>
    <x v="1"/>
    <x v="0"/>
  </r>
  <r>
    <x v="466"/>
    <x v="43"/>
    <x v="1"/>
    <x v="1"/>
    <n v="162235"/>
    <n v="0"/>
    <s v="LN_467"/>
    <n v="1720357"/>
    <x v="0"/>
    <n v="16.63"/>
    <x v="0"/>
    <n v="1397259.9926151"/>
    <x v="466"/>
    <n v="23158.83"/>
    <s v="Missed"/>
    <n v="4"/>
    <n v="120"/>
    <x v="1"/>
    <n v="3"/>
    <x v="0"/>
    <x v="0"/>
  </r>
  <r>
    <x v="467"/>
    <x v="21"/>
    <x v="0"/>
    <x v="1"/>
    <n v="134264"/>
    <n v="3"/>
    <s v="LN_468"/>
    <n v="865359"/>
    <x v="4"/>
    <n v="13.38"/>
    <x v="0"/>
    <n v="1060160.9682487301"/>
    <x v="467"/>
    <n v="8375.9"/>
    <s v="On-Time"/>
    <n v="3"/>
    <n v="132"/>
    <x v="0"/>
    <n v="9"/>
    <x v="0"/>
    <x v="0"/>
  </r>
  <r>
    <x v="468"/>
    <x v="32"/>
    <x v="0"/>
    <x v="1"/>
    <n v="20782"/>
    <n v="3"/>
    <s v="LN_469"/>
    <n v="1795030"/>
    <x v="0"/>
    <n v="8.75"/>
    <x v="0"/>
    <n v="2326898.5798500599"/>
    <x v="468"/>
    <n v="3064.63"/>
    <s v="On-Time"/>
    <n v="0"/>
    <n v="0"/>
    <x v="1"/>
    <n v="0"/>
    <x v="1"/>
    <x v="0"/>
  </r>
  <r>
    <x v="469"/>
    <x v="9"/>
    <x v="0"/>
    <x v="0"/>
    <n v="234249"/>
    <n v="1"/>
    <s v="LN_470"/>
    <n v="151948"/>
    <x v="2"/>
    <n v="8.8800000000000008"/>
    <x v="2"/>
    <n v="0"/>
    <x v="469"/>
    <n v="1825.38"/>
    <s v="On-Time"/>
    <n v="2"/>
    <n v="166"/>
    <x v="1"/>
    <n v="0"/>
    <x v="0"/>
    <x v="0"/>
  </r>
  <r>
    <x v="470"/>
    <x v="19"/>
    <x v="0"/>
    <x v="0"/>
    <n v="139481"/>
    <n v="3"/>
    <s v="LN_471"/>
    <n v="1283770"/>
    <x v="3"/>
    <n v="16.59"/>
    <x v="1"/>
    <n v="1711185.0361369301"/>
    <x v="470"/>
    <n v="15790.42"/>
    <s v="On-Time"/>
    <n v="1"/>
    <n v="113"/>
    <x v="0"/>
    <n v="3"/>
    <x v="1"/>
    <x v="0"/>
  </r>
  <r>
    <x v="471"/>
    <x v="33"/>
    <x v="0"/>
    <x v="0"/>
    <n v="230400"/>
    <n v="2"/>
    <s v="LN_472"/>
    <n v="1652357"/>
    <x v="0"/>
    <n v="5.18"/>
    <x v="3"/>
    <n v="2455019.5675807502"/>
    <x v="471"/>
    <n v="15048.52"/>
    <s v="On-Time"/>
    <n v="2"/>
    <n v="71"/>
    <x v="1"/>
    <n v="2"/>
    <x v="3"/>
    <x v="0"/>
  </r>
  <r>
    <x v="472"/>
    <x v="18"/>
    <x v="0"/>
    <x v="0"/>
    <n v="50585"/>
    <n v="1"/>
    <s v="LN_473"/>
    <n v="1565331"/>
    <x v="4"/>
    <n v="9.1999999999999993"/>
    <x v="2"/>
    <n v="0"/>
    <x v="472"/>
    <n v="3489.06"/>
    <s v="On-Time"/>
    <n v="2"/>
    <n v="46"/>
    <x v="1"/>
    <n v="1"/>
    <x v="2"/>
    <x v="0"/>
  </r>
  <r>
    <x v="473"/>
    <x v="18"/>
    <x v="1"/>
    <x v="0"/>
    <n v="45682"/>
    <n v="0"/>
    <s v="LN_474"/>
    <n v="343851"/>
    <x v="0"/>
    <n v="12.21"/>
    <x v="2"/>
    <n v="0"/>
    <x v="473"/>
    <n v="3111.18"/>
    <s v="On-Time"/>
    <n v="2"/>
    <n v="149"/>
    <x v="1"/>
    <n v="1"/>
    <x v="0"/>
    <x v="0"/>
  </r>
  <r>
    <x v="474"/>
    <x v="3"/>
    <x v="0"/>
    <x v="0"/>
    <n v="193936"/>
    <n v="0"/>
    <s v="LN_475"/>
    <n v="1822750"/>
    <x v="0"/>
    <n v="6.93"/>
    <x v="2"/>
    <n v="0"/>
    <x v="474"/>
    <n v="30009.72"/>
    <s v="On-Time"/>
    <n v="0"/>
    <n v="0"/>
    <x v="0"/>
    <n v="4"/>
    <x v="2"/>
    <x v="0"/>
  </r>
  <r>
    <x v="475"/>
    <x v="25"/>
    <x v="0"/>
    <x v="1"/>
    <n v="144992"/>
    <n v="2"/>
    <s v="LN_476"/>
    <n v="1236944"/>
    <x v="1"/>
    <n v="6.2"/>
    <x v="1"/>
    <n v="1597246.35789802"/>
    <x v="475"/>
    <n v="36122.980000000003"/>
    <s v="Missed"/>
    <n v="2"/>
    <n v="111"/>
    <x v="0"/>
    <n v="4"/>
    <x v="1"/>
    <x v="0"/>
  </r>
  <r>
    <x v="476"/>
    <x v="19"/>
    <x v="1"/>
    <x v="0"/>
    <n v="99416"/>
    <n v="0"/>
    <s v="LN_477"/>
    <n v="1255046"/>
    <x v="4"/>
    <n v="15.6"/>
    <x v="0"/>
    <n v="1382287.6723813999"/>
    <x v="476"/>
    <n v="11919.71"/>
    <s v="Delayed"/>
    <n v="1"/>
    <n v="162"/>
    <x v="1"/>
    <n v="2"/>
    <x v="1"/>
    <x v="0"/>
  </r>
  <r>
    <x v="477"/>
    <x v="12"/>
    <x v="0"/>
    <x v="1"/>
    <n v="201186"/>
    <n v="3"/>
    <s v="LN_478"/>
    <n v="347986"/>
    <x v="5"/>
    <n v="16.63"/>
    <x v="0"/>
    <n v="292036.91475616302"/>
    <x v="477"/>
    <n v="10417.41"/>
    <s v="Delayed"/>
    <n v="1"/>
    <n v="125"/>
    <x v="2"/>
    <n v="1"/>
    <x v="1"/>
    <x v="0"/>
  </r>
  <r>
    <x v="478"/>
    <x v="40"/>
    <x v="1"/>
    <x v="1"/>
    <n v="142810"/>
    <n v="3"/>
    <s v="LN_479"/>
    <n v="63261"/>
    <x v="0"/>
    <n v="15.71"/>
    <x v="0"/>
    <n v="66082.152680890693"/>
    <x v="478"/>
    <n v="878.6"/>
    <s v="Delayed"/>
    <n v="3"/>
    <n v="23"/>
    <x v="0"/>
    <n v="0"/>
    <x v="2"/>
    <x v="0"/>
  </r>
  <r>
    <x v="479"/>
    <x v="18"/>
    <x v="0"/>
    <x v="2"/>
    <n v="53067"/>
    <n v="2"/>
    <s v="LN_480"/>
    <n v="1175285"/>
    <x v="4"/>
    <n v="16.68"/>
    <x v="0"/>
    <n v="635909.30745797197"/>
    <x v="479"/>
    <n v="11646.4"/>
    <s v="On-Time"/>
    <n v="1"/>
    <n v="120"/>
    <x v="0"/>
    <n v="7"/>
    <x v="1"/>
    <x v="0"/>
  </r>
  <r>
    <x v="480"/>
    <x v="11"/>
    <x v="0"/>
    <x v="0"/>
    <n v="188757"/>
    <n v="0"/>
    <s v="LN_481"/>
    <n v="1718849"/>
    <x v="0"/>
    <n v="12.19"/>
    <x v="2"/>
    <n v="0"/>
    <x v="480"/>
    <n v="10848.86"/>
    <s v="On-Time"/>
    <n v="1"/>
    <n v="89"/>
    <x v="0"/>
    <n v="6"/>
    <x v="0"/>
    <x v="0"/>
  </r>
  <r>
    <x v="481"/>
    <x v="37"/>
    <x v="1"/>
    <x v="0"/>
    <n v="33073"/>
    <n v="0"/>
    <s v="LN_482"/>
    <n v="418760"/>
    <x v="5"/>
    <n v="15.56"/>
    <x v="0"/>
    <n v="521282.94862890599"/>
    <x v="481"/>
    <n v="16471.98"/>
    <s v="Missed"/>
    <n v="1"/>
    <n v="104"/>
    <x v="1"/>
    <n v="1"/>
    <x v="3"/>
    <x v="0"/>
  </r>
  <r>
    <x v="482"/>
    <x v="3"/>
    <x v="0"/>
    <x v="0"/>
    <n v="51035"/>
    <n v="2"/>
    <s v="LN_483"/>
    <n v="903605"/>
    <x v="4"/>
    <n v="9.99"/>
    <x v="1"/>
    <n v="854770.16032294906"/>
    <x v="482"/>
    <n v="13355.1"/>
    <s v="On-Time"/>
    <n v="3"/>
    <n v="85"/>
    <x v="0"/>
    <n v="2"/>
    <x v="3"/>
    <x v="0"/>
  </r>
  <r>
    <x v="483"/>
    <x v="15"/>
    <x v="0"/>
    <x v="0"/>
    <n v="211049"/>
    <n v="1"/>
    <s v="LN_484"/>
    <n v="1392501"/>
    <x v="3"/>
    <n v="13.66"/>
    <x v="3"/>
    <n v="724132.867425301"/>
    <x v="483"/>
    <n v="8011.49"/>
    <s v="On-Time"/>
    <n v="3"/>
    <n v="82"/>
    <x v="1"/>
    <n v="3"/>
    <x v="0"/>
    <x v="0"/>
  </r>
  <r>
    <x v="484"/>
    <x v="1"/>
    <x v="0"/>
    <x v="1"/>
    <n v="248782"/>
    <n v="0"/>
    <s v="LN_485"/>
    <n v="325796"/>
    <x v="2"/>
    <n v="17.850000000000001"/>
    <x v="3"/>
    <n v="183262.51151632599"/>
    <x v="484"/>
    <n v="733.2"/>
    <s v="Delayed"/>
    <n v="2"/>
    <n v="171"/>
    <x v="1"/>
    <n v="1"/>
    <x v="3"/>
    <x v="0"/>
  </r>
  <r>
    <x v="485"/>
    <x v="42"/>
    <x v="0"/>
    <x v="0"/>
    <n v="105373"/>
    <n v="1"/>
    <s v="LN_486"/>
    <n v="1365823"/>
    <x v="2"/>
    <n v="7.93"/>
    <x v="3"/>
    <n v="1212122.1080164199"/>
    <x v="485"/>
    <n v="10152.52"/>
    <s v="On-Time"/>
    <n v="3"/>
    <n v="26"/>
    <x v="2"/>
    <n v="8"/>
    <x v="2"/>
    <x v="0"/>
  </r>
  <r>
    <x v="486"/>
    <x v="19"/>
    <x v="1"/>
    <x v="1"/>
    <n v="98362"/>
    <n v="0"/>
    <s v="LN_487"/>
    <n v="1386220"/>
    <x v="2"/>
    <n v="10.07"/>
    <x v="0"/>
    <n v="1501860.5780937399"/>
    <x v="486"/>
    <n v="5738.97"/>
    <s v="On-Time"/>
    <n v="3"/>
    <n v="41"/>
    <x v="0"/>
    <n v="8"/>
    <x v="1"/>
    <x v="0"/>
  </r>
  <r>
    <x v="487"/>
    <x v="38"/>
    <x v="0"/>
    <x v="0"/>
    <n v="105517"/>
    <n v="0"/>
    <s v="LN_488"/>
    <n v="820692"/>
    <x v="0"/>
    <n v="11.24"/>
    <x v="0"/>
    <n v="791314.46727341902"/>
    <x v="487"/>
    <n v="4494.47"/>
    <s v="Missed"/>
    <n v="0"/>
    <n v="0"/>
    <x v="1"/>
    <n v="2"/>
    <x v="1"/>
    <x v="0"/>
  </r>
  <r>
    <x v="488"/>
    <x v="14"/>
    <x v="0"/>
    <x v="1"/>
    <n v="80450"/>
    <n v="0"/>
    <s v="LN_489"/>
    <n v="1723200"/>
    <x v="0"/>
    <n v="6.79"/>
    <x v="1"/>
    <n v="1928612.8795578401"/>
    <x v="488"/>
    <n v="25558.59"/>
    <s v="Delayed"/>
    <n v="1"/>
    <n v="84"/>
    <x v="1"/>
    <n v="0"/>
    <x v="1"/>
    <x v="0"/>
  </r>
  <r>
    <x v="489"/>
    <x v="33"/>
    <x v="0"/>
    <x v="1"/>
    <n v="25382"/>
    <n v="0"/>
    <s v="LN_490"/>
    <n v="478745"/>
    <x v="5"/>
    <n v="6.05"/>
    <x v="3"/>
    <n v="469310.97492506797"/>
    <x v="489"/>
    <n v="3602.74"/>
    <s v="On-Time"/>
    <n v="3"/>
    <n v="105"/>
    <x v="0"/>
    <n v="6"/>
    <x v="2"/>
    <x v="0"/>
  </r>
  <r>
    <x v="490"/>
    <x v="7"/>
    <x v="1"/>
    <x v="0"/>
    <n v="150509"/>
    <n v="3"/>
    <s v="LN_491"/>
    <n v="687787"/>
    <x v="3"/>
    <n v="15.79"/>
    <x v="2"/>
    <n v="0"/>
    <x v="490"/>
    <n v="14210.97"/>
    <s v="Missed"/>
    <n v="6"/>
    <n v="177"/>
    <x v="1"/>
    <n v="0"/>
    <x v="2"/>
    <x v="0"/>
  </r>
  <r>
    <x v="491"/>
    <x v="34"/>
    <x v="0"/>
    <x v="0"/>
    <n v="217043"/>
    <n v="1"/>
    <s v="LN_492"/>
    <n v="723812"/>
    <x v="4"/>
    <n v="17.7"/>
    <x v="2"/>
    <n v="0"/>
    <x v="491"/>
    <n v="5187.74"/>
    <s v="Delayed"/>
    <n v="0"/>
    <n v="0"/>
    <x v="1"/>
    <n v="3"/>
    <x v="2"/>
    <x v="0"/>
  </r>
  <r>
    <x v="492"/>
    <x v="31"/>
    <x v="1"/>
    <x v="0"/>
    <n v="210684"/>
    <n v="1"/>
    <s v="LN_493"/>
    <n v="885825"/>
    <x v="0"/>
    <n v="10.26"/>
    <x v="2"/>
    <n v="0"/>
    <x v="492"/>
    <n v="11579.14"/>
    <s v="Delayed"/>
    <n v="3"/>
    <n v="126"/>
    <x v="1"/>
    <n v="0"/>
    <x v="0"/>
    <x v="0"/>
  </r>
  <r>
    <x v="493"/>
    <x v="4"/>
    <x v="0"/>
    <x v="0"/>
    <n v="236427"/>
    <n v="0"/>
    <s v="LN_494"/>
    <n v="1522966"/>
    <x v="2"/>
    <n v="6.14"/>
    <x v="0"/>
    <n v="1769235.4587373501"/>
    <x v="493"/>
    <n v="15867.83"/>
    <s v="On-Time"/>
    <n v="3"/>
    <n v="73"/>
    <x v="1"/>
    <n v="3"/>
    <x v="2"/>
    <x v="0"/>
  </r>
  <r>
    <x v="494"/>
    <x v="1"/>
    <x v="1"/>
    <x v="0"/>
    <n v="76929"/>
    <n v="0"/>
    <s v="LN_495"/>
    <n v="1556242"/>
    <x v="5"/>
    <n v="5.86"/>
    <x v="2"/>
    <n v="0"/>
    <x v="494"/>
    <n v="6915.73"/>
    <s v="On-Time"/>
    <n v="0"/>
    <n v="0"/>
    <x v="0"/>
    <n v="1"/>
    <x v="3"/>
    <x v="0"/>
  </r>
  <r>
    <x v="495"/>
    <x v="31"/>
    <x v="1"/>
    <x v="0"/>
    <n v="248483"/>
    <n v="1"/>
    <s v="LN_496"/>
    <n v="740796"/>
    <x v="2"/>
    <n v="16.59"/>
    <x v="2"/>
    <n v="0"/>
    <x v="495"/>
    <n v="5743.45"/>
    <s v="Delayed"/>
    <n v="2"/>
    <n v="169"/>
    <x v="1"/>
    <n v="2"/>
    <x v="0"/>
    <x v="0"/>
  </r>
  <r>
    <x v="496"/>
    <x v="37"/>
    <x v="1"/>
    <x v="0"/>
    <n v="243590"/>
    <n v="3"/>
    <s v="LN_497"/>
    <n v="1408126"/>
    <x v="0"/>
    <n v="11.03"/>
    <x v="2"/>
    <n v="0"/>
    <x v="496"/>
    <n v="5289.57"/>
    <s v="Delayed"/>
    <n v="2"/>
    <n v="102"/>
    <x v="0"/>
    <n v="9"/>
    <x v="0"/>
    <x v="0"/>
  </r>
  <r>
    <x v="497"/>
    <x v="31"/>
    <x v="1"/>
    <x v="0"/>
    <n v="113864"/>
    <n v="2"/>
    <s v="LN_498"/>
    <n v="375203"/>
    <x v="4"/>
    <n v="9.16"/>
    <x v="2"/>
    <n v="0"/>
    <x v="497"/>
    <n v="6875.63"/>
    <s v="Delayed"/>
    <n v="3"/>
    <n v="140"/>
    <x v="1"/>
    <n v="3"/>
    <x v="0"/>
    <x v="0"/>
  </r>
  <r>
    <x v="498"/>
    <x v="36"/>
    <x v="0"/>
    <x v="0"/>
    <n v="158401"/>
    <n v="2"/>
    <s v="LN_499"/>
    <n v="1769890"/>
    <x v="5"/>
    <n v="11.19"/>
    <x v="1"/>
    <n v="1272774.0306001999"/>
    <x v="498"/>
    <n v="65222.46"/>
    <s v="On-Time"/>
    <n v="3"/>
    <n v="9"/>
    <x v="0"/>
    <n v="9"/>
    <x v="2"/>
    <x v="0"/>
  </r>
  <r>
    <x v="499"/>
    <x v="39"/>
    <x v="0"/>
    <x v="1"/>
    <n v="40169"/>
    <n v="1"/>
    <s v="LN_500"/>
    <n v="394866"/>
    <x v="1"/>
    <n v="9.14"/>
    <x v="2"/>
    <n v="0"/>
    <x v="499"/>
    <n v="15679.84"/>
    <s v="On-Time"/>
    <n v="1"/>
    <n v="116"/>
    <x v="2"/>
    <n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D3F96-87F6-462B-9CE2-506092975B30}" name="PivotTable9"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U3:U4" firstHeaderRow="1" firstDataRow="1" firstDataCol="0"/>
  <pivotFields count="21">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1"/>
        <item x="3"/>
        <item x="0"/>
        <item x="2"/>
        <item t="default"/>
      </items>
    </pivotField>
    <pivotField showAll="0"/>
    <pivotField dataField="1"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Sum of Outstanding_Loan_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8F10E-F4E8-4BD1-8C50-6DB9C0856B38}" name="PivotTable7"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O3:P5" firstHeaderRow="1" firstDataRow="1" firstDataCol="1"/>
  <pivotFields count="21">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Fields count="1">
    <field x="2"/>
  </rowFields>
  <rowItems count="2">
    <i>
      <x/>
    </i>
    <i>
      <x v="1"/>
    </i>
  </rowItems>
  <colItems count="1">
    <i/>
  </colItems>
  <dataFields count="1">
    <dataField name="Count of Loan_ID"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A14B5-5714-4E38-A355-65DBE6C74A0C}" name="PivotTable2"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O8:P12" firstHeaderRow="1" firstDataRow="1" firstDataCol="1"/>
  <pivotFields count="21">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Fields count="1">
    <field x="10"/>
  </rowFields>
  <rowItems count="4">
    <i>
      <x/>
    </i>
    <i>
      <x v="1"/>
    </i>
    <i>
      <x v="2"/>
    </i>
    <i>
      <x v="3"/>
    </i>
  </rowItems>
  <colItems count="1">
    <i/>
  </colItems>
  <dataFields count="1">
    <dataField name="Count of Loan_ID" fld="6" subtotal="count" showDataAs="percentOfCol" baseField="0" baseItem="0" numFmtId="9"/>
  </dataFields>
  <formats count="1">
    <format dxfId="43">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3" format="5">
      <pivotArea type="data" outline="0" fieldPosition="0">
        <references count="2">
          <reference field="4294967294" count="1" selected="0">
            <x v="0"/>
          </reference>
          <reference field="10" count="1" selected="0">
            <x v="2"/>
          </reference>
        </references>
      </pivotArea>
    </chartFormat>
    <chartFormat chart="3" format="6">
      <pivotArea type="data" outline="0" fieldPosition="0">
        <references count="2">
          <reference field="4294967294" count="1" selected="0">
            <x v="0"/>
          </reference>
          <reference field="10"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0" count="1" selected="0">
            <x v="0"/>
          </reference>
        </references>
      </pivotArea>
    </chartFormat>
    <chartFormat chart="6" format="14">
      <pivotArea type="data" outline="0" fieldPosition="0">
        <references count="2">
          <reference field="4294967294" count="1" selected="0">
            <x v="0"/>
          </reference>
          <reference field="10" count="1" selected="0">
            <x v="1"/>
          </reference>
        </references>
      </pivotArea>
    </chartFormat>
    <chartFormat chart="6" format="15">
      <pivotArea type="data" outline="0" fieldPosition="0">
        <references count="2">
          <reference field="4294967294" count="1" selected="0">
            <x v="0"/>
          </reference>
          <reference field="10" count="1" selected="0">
            <x v="2"/>
          </reference>
        </references>
      </pivotArea>
    </chartFormat>
    <chartFormat chart="6" format="1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989150-DE0B-4551-8E55-52CDC803A004}" name="PivotTable6"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11:G14" firstHeaderRow="1" firstDataRow="1" firstDataCol="1"/>
  <pivotFields count="21">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3">
        <item x="0"/>
        <item x="1"/>
        <item t="default"/>
      </items>
    </pivotField>
  </pivotFields>
  <rowFields count="1">
    <field x="17"/>
  </rowFields>
  <rowItems count="3">
    <i>
      <x/>
    </i>
    <i>
      <x v="1"/>
    </i>
    <i>
      <x v="2"/>
    </i>
  </rowItems>
  <colItems count="1">
    <i/>
  </colItems>
  <dataFields count="1">
    <dataField name="Sum of Loan_Amount" fld="7" baseField="0" baseItem="0" numFmtId="164"/>
  </dataFields>
  <formats count="3">
    <format dxfId="46">
      <pivotArea collapsedLevelsAreSubtotals="1" fieldPosition="0">
        <references count="1">
          <reference field="17" count="1">
            <x v="0"/>
          </reference>
        </references>
      </pivotArea>
    </format>
    <format dxfId="45">
      <pivotArea outline="0" fieldPosition="0">
        <references count="1">
          <reference field="4294967294" count="1">
            <x v="0"/>
          </reference>
        </references>
      </pivotArea>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198A7A-90AE-4F7A-B514-6F960A51409C}" name="PivotTable14"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22:I23" firstHeaderRow="1" firstDataRow="1" firstDataCol="0"/>
  <pivotFields count="21">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1"/>
        <item x="3"/>
        <item x="0"/>
        <item x="2"/>
        <item t="default"/>
      </items>
    </pivotField>
    <pivotField showAll="0"/>
    <pivotField dataField="1"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Sum of Outstanding_Loan_Amount" fld="12" baseField="0" baseItem="0" numFmtId="164"/>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F53EC4-E843-4085-A960-6D973AEDC2D7}" name="PivotTable8"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R3:S8" firstHeaderRow="1" firstDataRow="1" firstDataCol="1"/>
  <pivotFields count="21">
    <pivotField dataField="1" showAll="0"/>
    <pivotField axis="axisRow" showAll="0" sortType="ascending">
      <items count="8">
        <item x="0"/>
        <item x="6"/>
        <item x="1"/>
        <item x="2"/>
        <item x="3"/>
        <item x="4"/>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Fields count="1">
    <field x="1"/>
  </rowFields>
  <rowItems count="5">
    <i>
      <x v="2"/>
    </i>
    <i>
      <x v="3"/>
    </i>
    <i>
      <x v="4"/>
    </i>
    <i>
      <x v="5"/>
    </i>
    <i>
      <x v="6"/>
    </i>
  </rowItems>
  <colItems count="1">
    <i/>
  </colItems>
  <dataFields count="1">
    <dataField name="Count of Borrower_ID" fld="0" subtotal="count" showDataAs="percentOfCol" baseField="0" baseItem="0" numFmtId="9"/>
  </dataFields>
  <formats count="2">
    <format dxfId="49">
      <pivotArea collapsedLevelsAreSubtotals="1" fieldPosition="0">
        <references count="1">
          <reference field="1" count="1">
            <x v="2"/>
          </reference>
        </references>
      </pivotArea>
    </format>
    <format dxfId="4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 chart="3" format="4">
      <pivotArea type="data" outline="0" fieldPosition="0">
        <references count="2">
          <reference field="4294967294" count="1" selected="0">
            <x v="0"/>
          </reference>
          <reference field="1" count="1" selected="0">
            <x v="6"/>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B243B-57B9-4CA9-9E51-8099EBAF19CE}" name="PivotTable3"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H3:I6" firstHeaderRow="1" firstDataRow="1" firstDataCol="1"/>
  <pivotFields count="21">
    <pivotField showAll="0"/>
    <pivotField showAll="0"/>
    <pivotField showAll="0">
      <items count="3">
        <item x="1"/>
        <item x="0"/>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Fields count="1">
    <field x="3"/>
  </rowFields>
  <rowItems count="3">
    <i>
      <x/>
    </i>
    <i>
      <x v="2"/>
    </i>
    <i>
      <x v="1"/>
    </i>
  </rowItems>
  <colItems count="1">
    <i/>
  </colItems>
  <dataFields count="1">
    <dataField name="Sum of Loan_Amount" fld="7" showDataAs="percentOfCol" baseField="0" baseItem="0" numFmtId="9"/>
  </dataFields>
  <formats count="1">
    <format dxfId="5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3C8A17-2237-4FCC-BBA6-CA3D7E3CB313}" name="PivotTable10"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U8:U9" firstHeaderRow="1" firstDataRow="1" firstDataCol="0"/>
  <pivotFields count="21">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Sum of Loan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6DC9F1-6217-4D01-B528-A145FDEAE983}" name="PivotTable5"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D11" firstHeaderRow="1" firstDataRow="2" firstDataCol="1"/>
  <pivotFields count="21">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dataField="1" showAll="0"/>
    <pivotField showAll="0"/>
    <pivotField showAll="0"/>
    <pivotField showAll="0"/>
    <pivotField showAll="0"/>
    <pivotField axis="axisCol" showAll="0">
      <items count="4">
        <item x="1"/>
        <item x="0"/>
        <item x="2"/>
        <item t="default"/>
      </items>
    </pivotField>
    <pivotField showAll="0"/>
    <pivotField showAll="0"/>
    <pivotField showAll="0">
      <items count="3">
        <item x="0"/>
        <item x="1"/>
        <item t="default"/>
      </items>
    </pivotField>
  </pivotFields>
  <rowFields count="1">
    <field x="10"/>
  </rowFields>
  <rowItems count="4">
    <i>
      <x/>
    </i>
    <i>
      <x v="1"/>
    </i>
    <i>
      <x v="2"/>
    </i>
    <i>
      <x v="3"/>
    </i>
  </rowItems>
  <colFields count="1">
    <field x="17"/>
  </colFields>
  <colItems count="3">
    <i>
      <x/>
    </i>
    <i>
      <x v="1"/>
    </i>
    <i>
      <x v="2"/>
    </i>
  </colItems>
  <dataFields count="1">
    <dataField name="Sum of Outstanding_Loan_Amount" fld="12" baseField="0" baseItem="0" numFmtId="164"/>
  </dataFields>
  <formats count="4">
    <format dxfId="54">
      <pivotArea outline="0" collapsedLevelsAreSubtotals="1" fieldPosition="0">
        <references count="1">
          <reference field="17" count="1" selected="0">
            <x v="0"/>
          </reference>
        </references>
      </pivotArea>
    </format>
    <format dxfId="53">
      <pivotArea outline="0" collapsedLevelsAreSubtotals="1" fieldPosition="0">
        <references count="1">
          <reference field="17" count="1" selected="0">
            <x v="1"/>
          </reference>
        </references>
      </pivotArea>
    </format>
    <format dxfId="52">
      <pivotArea outline="0" collapsedLevelsAreSubtotals="1" fieldPosition="0">
        <references count="1">
          <reference field="17" count="1" selected="0">
            <x v="2"/>
          </reference>
        </references>
      </pivotArea>
    </format>
    <format dxfId="51">
      <pivotArea outline="0" collapsedLevelsAreSubtotals="1" fieldPosition="0"/>
    </format>
  </formats>
  <chartFormats count="8">
    <chartFormat chart="12" format="0" series="1">
      <pivotArea type="data" outline="0" fieldPosition="0">
        <references count="2">
          <reference field="4294967294" count="1" selected="0">
            <x v="0"/>
          </reference>
          <reference field="17" count="1" selected="0">
            <x v="0"/>
          </reference>
        </references>
      </pivotArea>
    </chartFormat>
    <chartFormat chart="12" format="1" series="1">
      <pivotArea type="data" outline="0" fieldPosition="0">
        <references count="2">
          <reference field="4294967294" count="1" selected="0">
            <x v="0"/>
          </reference>
          <reference field="17" count="1" selected="0">
            <x v="1"/>
          </reference>
        </references>
      </pivotArea>
    </chartFormat>
    <chartFormat chart="12" format="2" series="1">
      <pivotArea type="data" outline="0" fieldPosition="0">
        <references count="2">
          <reference field="4294967294" count="1" selected="0">
            <x v="0"/>
          </reference>
          <reference field="17" count="1" selected="0">
            <x v="2"/>
          </reference>
        </references>
      </pivotArea>
    </chartFormat>
    <chartFormat chart="14" format="6" series="1">
      <pivotArea type="data" outline="0" fieldPosition="0">
        <references count="2">
          <reference field="4294967294" count="1" selected="0">
            <x v="0"/>
          </reference>
          <reference field="17" count="1" selected="0">
            <x v="0"/>
          </reference>
        </references>
      </pivotArea>
    </chartFormat>
    <chartFormat chart="14" format="7" series="1">
      <pivotArea type="data" outline="0" fieldPosition="0">
        <references count="2">
          <reference field="4294967294" count="1" selected="0">
            <x v="0"/>
          </reference>
          <reference field="17" count="1" selected="0">
            <x v="1"/>
          </reference>
        </references>
      </pivotArea>
    </chartFormat>
    <chartFormat chart="14" format="8" series="1">
      <pivotArea type="data" outline="0" fieldPosition="0">
        <references count="2">
          <reference field="4294967294" count="1" selected="0">
            <x v="0"/>
          </reference>
          <reference field="17" count="1" selected="0">
            <x v="2"/>
          </reference>
        </references>
      </pivotArea>
    </chartFormat>
    <chartFormat chart="14" format="9"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14A26E-0D2A-435A-B744-ED53904B59BF}" name="PivotTable11"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3:X4" firstHeaderRow="1" firstDataRow="1" firstDataCol="0"/>
  <pivotFields count="21">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Average of Loan_Tenur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D46F5-0D1F-4F35-832A-E05E64B682D1}" name="PivotTable15" cacheId="1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S13:U19" firstHeaderRow="0" firstDataRow="1" firstDataCol="1"/>
  <pivotFields count="21">
    <pivotField compact="0" outline="0" showAll="0" defaultSubtotal="0"/>
    <pivotField compact="0" outline="0" showAll="0" sortType="ascending"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6">
        <item x="1"/>
        <item x="5"/>
        <item x="3"/>
        <item x="4"/>
        <item x="0"/>
        <item x="2"/>
      </items>
    </pivotField>
    <pivotField compact="0" outline="0" showAll="0" defaultSubtotal="0"/>
    <pivotField compact="0" outline="0" showAll="0" defaultSubtotal="0">
      <items count="4">
        <item x="1"/>
        <item x="3"/>
        <item x="0"/>
        <item x="2"/>
      </items>
    </pivotField>
    <pivotField compact="0" outline="0" showAll="0" defaultSubtotal="0"/>
    <pivotField dataField="1" compact="0" outline="0" showAll="0" defaultSubtotal="0">
      <items count="500">
        <item x="162"/>
        <item x="302"/>
        <item x="165"/>
        <item x="322"/>
        <item x="457"/>
        <item x="397"/>
        <item x="422"/>
        <item x="376"/>
        <item x="402"/>
        <item x="101"/>
        <item x="334"/>
        <item x="4"/>
        <item x="388"/>
        <item x="367"/>
        <item x="54"/>
        <item x="354"/>
        <item x="390"/>
        <item x="366"/>
        <item x="188"/>
        <item x="93"/>
        <item x="181"/>
        <item x="455"/>
        <item x="332"/>
        <item x="64"/>
        <item x="478"/>
        <item x="484"/>
        <item x="126"/>
        <item x="108"/>
        <item x="413"/>
        <item x="409"/>
        <item x="111"/>
        <item x="213"/>
        <item x="398"/>
        <item x="243"/>
        <item x="198"/>
        <item x="294"/>
        <item x="13"/>
        <item x="281"/>
        <item x="228"/>
        <item x="196"/>
        <item x="112"/>
        <item x="377"/>
        <item x="96"/>
        <item x="359"/>
        <item x="347"/>
        <item x="316"/>
        <item x="266"/>
        <item x="239"/>
        <item x="186"/>
        <item x="53"/>
        <item x="161"/>
        <item x="158"/>
        <item x="297"/>
        <item x="303"/>
        <item x="123"/>
        <item x="489"/>
        <item x="411"/>
        <item x="287"/>
        <item x="394"/>
        <item x="225"/>
        <item x="400"/>
        <item x="79"/>
        <item x="21"/>
        <item x="50"/>
        <item x="98"/>
        <item x="115"/>
        <item x="75"/>
        <item x="315"/>
        <item x="62"/>
        <item x="258"/>
        <item x="167"/>
        <item x="386"/>
        <item x="384"/>
        <item x="227"/>
        <item x="156"/>
        <item x="339"/>
        <item x="271"/>
        <item x="301"/>
        <item x="185"/>
        <item x="216"/>
        <item x="375"/>
        <item x="152"/>
        <item x="68"/>
        <item x="304"/>
        <item x="30"/>
        <item x="333"/>
        <item x="61"/>
        <item x="5"/>
        <item x="91"/>
        <item x="469"/>
        <item x="311"/>
        <item x="9"/>
        <item x="412"/>
        <item x="147"/>
        <item x="19"/>
        <item x="341"/>
        <item x="370"/>
        <item x="268"/>
        <item x="223"/>
        <item x="284"/>
        <item x="183"/>
        <item x="65"/>
        <item x="193"/>
        <item x="255"/>
        <item x="319"/>
        <item x="33"/>
        <item x="389"/>
        <item x="31"/>
        <item x="23"/>
        <item x="87"/>
        <item x="99"/>
        <item x="404"/>
        <item x="296"/>
        <item x="494"/>
        <item x="472"/>
        <item x="8"/>
        <item x="163"/>
        <item x="190"/>
        <item x="136"/>
        <item x="371"/>
        <item x="212"/>
        <item x="150"/>
        <item x="18"/>
        <item x="32"/>
        <item x="326"/>
        <item x="160"/>
        <item x="468"/>
        <item x="473"/>
        <item x="499"/>
        <item x="427"/>
        <item x="449"/>
        <item x="125"/>
        <item x="403"/>
        <item x="84"/>
        <item x="340"/>
        <item x="218"/>
        <item x="440"/>
        <item x="257"/>
        <item x="229"/>
        <item x="460"/>
        <item x="137"/>
        <item x="295"/>
        <item x="177"/>
        <item x="373"/>
        <item x="236"/>
        <item x="22"/>
        <item x="238"/>
        <item x="453"/>
        <item x="71"/>
        <item x="385"/>
        <item x="221"/>
        <item x="234"/>
        <item x="3"/>
        <item x="135"/>
        <item x="369"/>
        <item x="352"/>
        <item x="199"/>
        <item x="406"/>
        <item x="215"/>
        <item x="82"/>
        <item x="176"/>
        <item x="132"/>
        <item x="298"/>
        <item x="103"/>
        <item x="417"/>
        <item x="166"/>
        <item x="395"/>
        <item x="72"/>
        <item x="214"/>
        <item x="36"/>
        <item x="113"/>
        <item x="336"/>
        <item x="276"/>
        <item x="217"/>
        <item x="169"/>
        <item x="314"/>
        <item x="491"/>
        <item x="477"/>
        <item x="157"/>
        <item x="102"/>
        <item x="381"/>
        <item x="261"/>
        <item x="242"/>
        <item x="446"/>
        <item x="487"/>
        <item x="52"/>
        <item x="202"/>
        <item x="396"/>
        <item x="44"/>
        <item x="78"/>
        <item x="109"/>
        <item x="66"/>
        <item x="461"/>
        <item x="124"/>
        <item x="289"/>
        <item x="483"/>
        <item x="184"/>
        <item x="0"/>
        <item x="106"/>
        <item x="10"/>
        <item x="324"/>
        <item x="423"/>
        <item x="247"/>
        <item x="263"/>
        <item x="342"/>
        <item x="81"/>
        <item x="170"/>
        <item x="260"/>
        <item x="86"/>
        <item x="496"/>
        <item x="100"/>
        <item x="45"/>
        <item x="335"/>
        <item x="200"/>
        <item x="436"/>
        <item x="497"/>
        <item x="421"/>
        <item x="39"/>
        <item x="328"/>
        <item x="204"/>
        <item x="365"/>
        <item x="173"/>
        <item x="235"/>
        <item x="259"/>
        <item x="317"/>
        <item x="143"/>
        <item x="451"/>
        <item x="321"/>
        <item x="420"/>
        <item x="206"/>
        <item x="458"/>
        <item x="408"/>
        <item x="20"/>
        <item x="73"/>
        <item x="134"/>
        <item x="428"/>
        <item x="399"/>
        <item x="168"/>
        <item x="97"/>
        <item x="481"/>
        <item x="245"/>
        <item x="35"/>
        <item x="364"/>
        <item x="76"/>
        <item x="467"/>
        <item x="180"/>
        <item x="310"/>
        <item x="431"/>
        <item x="94"/>
        <item x="486"/>
        <item x="250"/>
        <item x="495"/>
        <item x="7"/>
        <item x="424"/>
        <item x="437"/>
        <item x="285"/>
        <item x="241"/>
        <item x="425"/>
        <item x="88"/>
        <item x="148"/>
        <item x="129"/>
        <item x="138"/>
        <item x="320"/>
        <item x="254"/>
        <item x="153"/>
        <item x="475"/>
        <item x="393"/>
        <item x="121"/>
        <item x="159"/>
        <item x="448"/>
        <item x="256"/>
        <item x="95"/>
        <item x="40"/>
        <item x="146"/>
        <item x="197"/>
        <item x="270"/>
        <item x="282"/>
        <item x="452"/>
        <item x="187"/>
        <item x="92"/>
        <item x="191"/>
        <item x="346"/>
        <item x="89"/>
        <item x="300"/>
        <item x="363"/>
        <item x="401"/>
        <item x="119"/>
        <item x="432"/>
        <item x="368"/>
        <item x="272"/>
        <item x="278"/>
        <item x="48"/>
        <item x="290"/>
        <item x="442"/>
        <item x="490"/>
        <item x="43"/>
        <item x="37"/>
        <item x="252"/>
        <item x="415"/>
        <item x="85"/>
        <item x="357"/>
        <item x="47"/>
        <item x="419"/>
        <item x="450"/>
        <item x="462"/>
        <item x="479"/>
        <item x="274"/>
        <item x="470"/>
        <item x="230"/>
        <item x="476"/>
        <item x="382"/>
        <item x="114"/>
        <item x="107"/>
        <item x="194"/>
        <item x="292"/>
        <item x="208"/>
        <item x="131"/>
        <item x="17"/>
        <item x="203"/>
        <item x="337"/>
        <item x="331"/>
        <item x="374"/>
        <item x="46"/>
        <item x="306"/>
        <item x="348"/>
        <item x="14"/>
        <item x="482"/>
        <item x="480"/>
        <item x="327"/>
        <item x="1"/>
        <item x="117"/>
        <item x="273"/>
        <item x="34"/>
        <item x="116"/>
        <item x="280"/>
        <item x="283"/>
        <item x="269"/>
        <item x="492"/>
        <item x="16"/>
        <item x="330"/>
        <item x="63"/>
        <item x="189"/>
        <item x="122"/>
        <item x="141"/>
        <item x="240"/>
        <item x="127"/>
        <item x="485"/>
        <item x="57"/>
        <item x="438"/>
        <item x="59"/>
        <item x="142"/>
        <item x="358"/>
        <item x="179"/>
        <item x="24"/>
        <item x="414"/>
        <item x="305"/>
        <item x="387"/>
        <item x="220"/>
        <item x="288"/>
        <item x="133"/>
        <item x="378"/>
        <item x="130"/>
        <item x="149"/>
        <item x="128"/>
        <item x="151"/>
        <item x="325"/>
        <item x="174"/>
        <item x="465"/>
        <item x="77"/>
        <item x="350"/>
        <item x="67"/>
        <item x="439"/>
        <item x="195"/>
        <item x="233"/>
        <item x="237"/>
        <item x="444"/>
        <item x="443"/>
        <item x="164"/>
        <item x="41"/>
        <item x="343"/>
        <item x="6"/>
        <item x="362"/>
        <item x="178"/>
        <item x="435"/>
        <item x="38"/>
        <item x="83"/>
        <item x="471"/>
        <item x="244"/>
        <item x="429"/>
        <item x="42"/>
        <item x="69"/>
        <item x="253"/>
        <item x="279"/>
        <item x="323"/>
        <item x="246"/>
        <item x="383"/>
        <item x="110"/>
        <item x="144"/>
        <item x="293"/>
        <item x="275"/>
        <item x="172"/>
        <item x="224"/>
        <item x="51"/>
        <item x="338"/>
        <item x="118"/>
        <item x="104"/>
        <item x="267"/>
        <item x="2"/>
        <item x="441"/>
        <item x="286"/>
        <item x="464"/>
        <item x="231"/>
        <item x="27"/>
        <item x="55"/>
        <item x="60"/>
        <item x="226"/>
        <item x="454"/>
        <item x="251"/>
        <item x="308"/>
        <item x="355"/>
        <item x="265"/>
        <item x="70"/>
        <item x="493"/>
        <item x="12"/>
        <item x="28"/>
        <item x="139"/>
        <item x="418"/>
        <item x="11"/>
        <item x="105"/>
        <item x="210"/>
        <item x="120"/>
        <item x="58"/>
        <item x="318"/>
        <item x="410"/>
        <item x="171"/>
        <item x="405"/>
        <item x="309"/>
        <item x="175"/>
        <item x="262"/>
        <item x="459"/>
        <item x="15"/>
        <item x="379"/>
        <item x="360"/>
        <item x="29"/>
        <item x="407"/>
        <item x="192"/>
        <item x="219"/>
        <item x="353"/>
        <item x="182"/>
        <item x="145"/>
        <item x="49"/>
        <item x="433"/>
        <item x="349"/>
        <item x="434"/>
        <item x="155"/>
        <item x="248"/>
        <item x="466"/>
        <item x="291"/>
        <item x="74"/>
        <item x="154"/>
        <item x="211"/>
        <item x="447"/>
        <item x="25"/>
        <item x="391"/>
        <item x="56"/>
        <item x="445"/>
        <item x="312"/>
        <item x="205"/>
        <item x="361"/>
        <item x="80"/>
        <item x="264"/>
        <item x="277"/>
        <item x="456"/>
        <item x="463"/>
        <item x="90"/>
        <item x="426"/>
        <item x="249"/>
        <item x="488"/>
        <item x="140"/>
        <item x="416"/>
        <item x="232"/>
        <item x="26"/>
        <item x="498"/>
        <item x="222"/>
        <item x="344"/>
        <item x="299"/>
        <item x="372"/>
        <item x="380"/>
        <item x="356"/>
        <item x="307"/>
        <item x="201"/>
        <item x="351"/>
        <item x="313"/>
        <item x="329"/>
        <item x="430"/>
        <item x="207"/>
        <item x="474"/>
        <item x="392"/>
        <item x="209"/>
        <item x="34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compact="0" outline="0" showAll="0" defaultSubtotal="0"/>
    <pivotField compact="0" outline="0" showAll="0" defaultSubtotal="0">
      <items count="2">
        <item x="0"/>
        <item x="1"/>
      </items>
    </pivotField>
  </pivotFields>
  <rowFields count="1">
    <field x="8"/>
  </rowFields>
  <rowItems count="6">
    <i>
      <x/>
    </i>
    <i>
      <x v="1"/>
    </i>
    <i>
      <x v="2"/>
    </i>
    <i>
      <x v="3"/>
    </i>
    <i>
      <x v="4"/>
    </i>
    <i>
      <x v="5"/>
    </i>
  </rowItems>
  <colFields count="1">
    <field x="-2"/>
  </colFields>
  <colItems count="2">
    <i>
      <x/>
    </i>
    <i i="1">
      <x v="1"/>
    </i>
  </colItems>
  <dataFields count="2">
    <dataField name="Sum of Loan_Amount" fld="7" baseField="8" baseItem="2"/>
    <dataField name="Sum of Outstanding_Loan_Amount" fld="12" baseField="0" baseItem="0"/>
  </dataFields>
  <formats count="1">
    <format dxfId="55">
      <pivotArea outline="0" collapsedLevelsAreSubtotals="1" fieldPosition="0"/>
    </format>
  </formats>
  <chartFormats count="9">
    <chartFormat chart="6" format="12"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8" count="1" selected="0">
            <x v="2"/>
          </reference>
        </references>
      </pivotArea>
    </chartFormat>
    <chartFormat chart="12" format="22">
      <pivotArea type="data" outline="0" fieldPosition="0">
        <references count="2">
          <reference field="4294967294" count="1" selected="0">
            <x v="0"/>
          </reference>
          <reference field="8" count="1" selected="0">
            <x v="3"/>
          </reference>
        </references>
      </pivotArea>
    </chartFormat>
    <chartFormat chart="12" format="23">
      <pivotArea type="data" outline="0" fieldPosition="0">
        <references count="2">
          <reference field="4294967294" count="1" selected="0">
            <x v="0"/>
          </reference>
          <reference field="8" count="1" selected="0">
            <x v="4"/>
          </reference>
        </references>
      </pivotArea>
    </chartFormat>
    <chartFormat chart="12" format="24">
      <pivotArea type="data" outline="0" fieldPosition="0">
        <references count="2">
          <reference field="4294967294" count="1" selected="0">
            <x v="0"/>
          </reference>
          <reference field="8" count="1" selected="0">
            <x v="5"/>
          </reference>
        </references>
      </pivotArea>
    </chartFormat>
    <chartFormat chart="12" format="26"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E26EC9-94A6-47BF-9309-3313C79323DE}" name="PivotTable16"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I31:J35" firstHeaderRow="1" firstDataRow="1" firstDataCol="1"/>
  <pivotFields count="21">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axis="axisRow" showAll="0">
      <items count="5">
        <item x="2"/>
        <item x="3"/>
        <item x="1"/>
        <item x="0"/>
        <item t="default"/>
      </items>
    </pivotField>
    <pivotField showAll="0">
      <items count="3">
        <item x="0"/>
        <item x="1"/>
        <item t="default"/>
      </items>
    </pivotField>
  </pivotFields>
  <rowFields count="1">
    <field x="19"/>
  </rowFields>
  <rowItems count="4">
    <i>
      <x/>
    </i>
    <i>
      <x v="1"/>
    </i>
    <i>
      <x v="2"/>
    </i>
    <i>
      <x v="3"/>
    </i>
  </rowItems>
  <colItems count="1">
    <i/>
  </colItems>
  <dataFields count="1">
    <dataField name="Sum of Loan_Amount" fld="7" baseField="0" baseItem="0"/>
  </dataFields>
  <formats count="1">
    <format dxfId="56">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214855-F3BA-4545-B4BF-CE92E5BB37E3}" name="PivotTable12"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27:I28" firstHeaderRow="1" firstDataRow="1" firstDataCol="0"/>
  <pivotFields count="21">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Sum of Loan_Amount" fld="7"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BBB546-59C5-4C00-B7C7-DD6F5D7ADF57}"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Count of Loan_I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C2B3B9-0592-48C4-938D-14ECE76350AE}" name="PivotTable4"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K3:L8" firstHeaderRow="1" firstDataRow="1" firstDataCol="1"/>
  <pivotFields count="21">
    <pivotField axis="axisRow" showAll="0" measureFilter="1" sortType="ascending">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measureFilter="1"/>
    <pivotField dataField="1"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Fields count="1">
    <field x="0"/>
  </rowFields>
  <rowItems count="5">
    <i>
      <x v="373"/>
    </i>
    <i>
      <x v="34"/>
    </i>
    <i>
      <x v="140"/>
    </i>
    <i>
      <x v="168"/>
    </i>
    <i>
      <x v="357"/>
    </i>
  </rowItems>
  <colItems count="1">
    <i/>
  </colItems>
  <dataFields count="1">
    <dataField name="Sum of Loan_Amount" fld="7" baseField="0" baseItem="0" numFmtId="164"/>
  </dataFields>
  <formats count="1">
    <format dxfId="5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357"/>
          </reference>
        </references>
      </pivotArea>
    </chartFormat>
    <chartFormat chart="2" format="4">
      <pivotArea type="data" outline="0" fieldPosition="0">
        <references count="2">
          <reference field="4294967294" count="1" selected="0">
            <x v="0"/>
          </reference>
          <reference field="0" count="1" selected="0">
            <x v="168"/>
          </reference>
        </references>
      </pivotArea>
    </chartFormat>
    <chartFormat chart="2" format="5">
      <pivotArea type="data" outline="0" fieldPosition="0">
        <references count="2">
          <reference field="4294967294" count="1" selected="0">
            <x v="0"/>
          </reference>
          <reference field="0" count="1" selected="0">
            <x v="373"/>
          </reference>
        </references>
      </pivotArea>
    </chartFormat>
    <chartFormat chart="2" format="6">
      <pivotArea type="data" outline="0" fieldPosition="0">
        <references count="2">
          <reference field="4294967294" count="1" selected="0">
            <x v="0"/>
          </reference>
          <reference field="0" count="1" selected="0">
            <x v="480"/>
          </reference>
        </references>
      </pivotArea>
    </chartFormat>
    <chartFormat chart="2" format="7">
      <pivotArea type="data" outline="0" fieldPosition="0">
        <references count="2">
          <reference field="4294967294" count="1" selected="0">
            <x v="0"/>
          </reference>
          <reference field="0" count="1" selected="0">
            <x v="374"/>
          </reference>
        </references>
      </pivotArea>
    </chartFormat>
    <chartFormat chart="2" format="8">
      <pivotArea type="data" outline="0" fieldPosition="0">
        <references count="2">
          <reference field="4294967294" count="1" selected="0">
            <x v="0"/>
          </reference>
          <reference field="0" count="1" selected="0">
            <x v="369"/>
          </reference>
        </references>
      </pivotArea>
    </chartFormat>
    <chartFormat chart="2" format="9">
      <pivotArea type="data" outline="0" fieldPosition="0">
        <references count="2">
          <reference field="4294967294" count="1" selected="0">
            <x v="0"/>
          </reference>
          <reference field="0" count="1" selected="0">
            <x v="135"/>
          </reference>
        </references>
      </pivotArea>
    </chartFormat>
    <chartFormat chart="2" format="10">
      <pivotArea type="data" outline="0" fieldPosition="0">
        <references count="2">
          <reference field="4294967294" count="1" selected="0">
            <x v="0"/>
          </reference>
          <reference field="0" count="1" selected="0">
            <x v="266"/>
          </reference>
        </references>
      </pivotArea>
    </chartFormat>
    <chartFormat chart="2" format="11">
      <pivotArea type="data" outline="0" fieldPosition="0">
        <references count="2">
          <reference field="4294967294" count="1" selected="0">
            <x v="0"/>
          </reference>
          <reference field="0" count="1" selected="0">
            <x v="140"/>
          </reference>
        </references>
      </pivotArea>
    </chartFormat>
    <chartFormat chart="2" format="12">
      <pivotArea type="data" outline="0" fieldPosition="0">
        <references count="2">
          <reference field="4294967294" count="1" selected="0">
            <x v="0"/>
          </reference>
          <reference field="0" count="1" selected="0">
            <x v="34"/>
          </reference>
        </references>
      </pivotArea>
    </chartFormat>
  </chartFormats>
  <pivotTableStyleInfo name="PivotStyleLight16" showRowHeaders="1" showColHeaders="1" showRowStripes="0" showColStripes="0" showLastColumn="1"/>
  <filters count="2">
    <filter fld="0" type="count" evalOrder="-1" id="5" iMeasureFld="0">
      <autoFilter ref="A1">
        <filterColumn colId="0">
          <top10 val="5" filterVal="5"/>
        </filterColumn>
      </autoFilter>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85422F-CFA8-43C3-86A4-BEFE0F659817}" name="PivotTable13"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18:I19" firstHeaderRow="1" firstDataRow="1" firstDataCol="0"/>
  <pivotFields count="21">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items count="5">
        <item x="1"/>
        <item x="3"/>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
        <item x="0"/>
        <item x="1"/>
        <item t="default"/>
      </items>
    </pivotField>
  </pivotFields>
  <rowItems count="1">
    <i/>
  </rowItems>
  <colItems count="1">
    <i/>
  </colItems>
  <dataFields count="1">
    <dataField name="Average of Loan_Tenure" fld="8" subtotal="average" baseField="0" baseItem="0" numFmtId="1"/>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73DB46-CC2F-4DE5-89E4-1269C294C1B8}" autoFormatId="16" applyNumberFormats="0" applyBorderFormats="0" applyFontFormats="0" applyPatternFormats="0" applyAlignmentFormats="0" applyWidthHeightFormats="0">
  <queryTableRefresh nextId="22">
    <queryTableFields count="21">
      <queryTableField id="1" name="Borrower_ID" tableColumnId="1"/>
      <queryTableField id="2" name="Age" tableColumnId="2"/>
      <queryTableField id="3" name="Gender" tableColumnId="3"/>
      <queryTableField id="4" name="Employment_Type" tableColumnId="4"/>
      <queryTableField id="5" name="Monthly_Income" tableColumnId="5"/>
      <queryTableField id="6" name="Num_Dependents" tableColumnId="6"/>
      <queryTableField id="7" name="Loan_ID" tableColumnId="7"/>
      <queryTableField id="8" name="Loan_Amount" tableColumnId="8"/>
      <queryTableField id="9" name="Loan_Tenure" tableColumnId="9"/>
      <queryTableField id="10" name="Interest_Rate" tableColumnId="10"/>
      <queryTableField id="11" name="Loan_Type" tableColumnId="11"/>
      <queryTableField id="12" name="Collateral_Value" tableColumnId="12"/>
      <queryTableField id="13" name="Outstanding_Loan_Amount" tableColumnId="13"/>
      <queryTableField id="14" name="Monthly_EMI" tableColumnId="14"/>
      <queryTableField id="15" name="Payment_History" tableColumnId="15"/>
      <queryTableField id="16" name="Num_Missed_Payments" tableColumnId="16"/>
      <queryTableField id="17" name="Days_Past_Due" tableColumnId="17"/>
      <queryTableField id="18" name="Recovery_Status" tableColumnId="18"/>
      <queryTableField id="19" name="Collection_Attempts" tableColumnId="19"/>
      <queryTableField id="20" name="Collection_Method" tableColumnId="20"/>
      <queryTableField id="21" name="Legal_Action_Taken"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E347A9-B21B-4CC3-AFF5-52901E8705AD}" sourceName="Gender">
  <pivotTables>
    <pivotTable tabId="3" name="PivotTable4"/>
    <pivotTable tabId="3" name="PivotTable1"/>
    <pivotTable tabId="3" name="PivotTable10"/>
    <pivotTable tabId="3" name="PivotTable11"/>
    <pivotTable tabId="3" name="PivotTable13"/>
    <pivotTable tabId="3" name="PivotTable14"/>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6"/>
    <pivotTable tabId="3" name="PivotTable15"/>
  </pivotTables>
  <data>
    <tabular pivotCacheId="8331654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BE0294F1-8A39-439E-806C-A0CB37EBB6C3}" sourceName="Loan_Type">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 tabId="3" name="PivotTable13"/>
    <pivotTable tabId="3" name="PivotTable14"/>
    <pivotTable tabId="3" name="PivotTable12"/>
    <pivotTable tabId="3" name="PivotTable16"/>
    <pivotTable tabId="3" name="PivotTable15"/>
  </pivotTables>
  <data>
    <tabular pivotCacheId="83316546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al_Action_Taken" xr10:uid="{2D5926A2-69D6-44EB-A42D-22B5B7724A80}" sourceName="Legal_Action_Taken">
  <pivotTables>
    <pivotTable tabId="3" name="PivotTable4"/>
    <pivotTable tabId="3" name="PivotTable1"/>
    <pivotTable tabId="3" name="PivotTable10"/>
    <pivotTable tabId="3" name="PivotTable11"/>
    <pivotTable tabId="3" name="PivotTable13"/>
    <pivotTable tabId="3" name="PivotTable14"/>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6"/>
    <pivotTable tabId="3" name="PivotTable15"/>
  </pivotTables>
  <data>
    <tabular pivotCacheId="83316546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very_Status" xr10:uid="{1DBBB2DA-7853-4831-8676-8FE4296A5EDC}" sourceName="Recovery_Status">
  <pivotTables>
    <pivotTable tabId="3" name="PivotTable4"/>
    <pivotTable tabId="3" name="PivotTable1"/>
    <pivotTable tabId="3" name="PivotTable10"/>
    <pivotTable tabId="3" name="PivotTable11"/>
    <pivotTable tabId="3" name="PivotTable13"/>
    <pivotTable tabId="3" name="PivotTable14"/>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6"/>
    <pivotTable tabId="3" name="PivotTable15"/>
  </pivotTables>
  <data>
    <tabular pivotCacheId="83316546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C46A8D-D800-42D3-9CA5-6A6F09988021}" cache="Slicer_Gender" caption="Gender" style="SlicerStyleLight1" rowHeight="257175"/>
  <slicer name="Loan_Type" xr10:uid="{7E0A0A74-EA1D-479A-A47D-2A35860EEDFC}" cache="Slicer_Loan_Type" caption="Loan_Type" style="SlicerStyleLight1" rowHeight="257175"/>
  <slicer name="Legal_Action_Taken" xr10:uid="{3B47401A-4132-468A-9944-1CA884338D9C}" cache="Slicer_Legal_Action_Taken" caption="Legal_Action_Taken" style="SlicerStyleLight1" rowHeight="257175"/>
  <slicer name="Recovery_Status" xr10:uid="{7C701A21-BC80-4FC9-B0B0-9FF947F99C39}" cache="Slicer_Recovery_Status" caption="Recovery_Status"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5B4CD43-09B8-4AAA-B505-E54BC5688411}" cache="Slicer_Gender" caption="Gender" rowHeight="257175"/>
  <slicer name="Loan_Type 1" xr10:uid="{B8B7AACF-A9F7-4EE3-9406-F1E2EAE6EAFD}" cache="Slicer_Loan_Type" caption="Loan_Type" rowHeight="257175"/>
  <slicer name="Legal_Action_Taken 1" xr10:uid="{B376B2F6-D245-4771-91BD-4E425B2E67B0}" cache="Slicer_Legal_Action_Taken" caption="Legal_Action_Taken" rowHeight="257175"/>
  <slicer name="Recovery_Status 1" xr10:uid="{32B691B3-7DEE-4F91-9C35-68210F3E4688}" cache="Slicer_Recovery_Status" caption="Recovery_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B74FF6-3B59-44CB-A758-1A5330B54F97}" name="Table1_1" displayName="Table1_1" ref="A1:U501" tableType="queryTable" totalsRowShown="0">
  <autoFilter ref="A1:U501" xr:uid="{6DB74FF6-3B59-44CB-A758-1A5330B54F97}"/>
  <tableColumns count="21">
    <tableColumn id="1" xr3:uid="{2809E8FF-462E-4B90-A961-E7027DF2EB8F}" uniqueName="1" name="Borrower_ID" queryTableFieldId="1" dataDxfId="42"/>
    <tableColumn id="2" xr3:uid="{0681B233-1AC7-435C-BC1A-6176FE632109}" uniqueName="2" name="Age" queryTableFieldId="2"/>
    <tableColumn id="3" xr3:uid="{5636369C-C89E-4B38-8553-57985DE396A4}" uniqueName="3" name="Gender" queryTableFieldId="3" dataDxfId="41"/>
    <tableColumn id="4" xr3:uid="{EEE9F69D-FFD1-46A7-90E8-BD48DBD427A0}" uniqueName="4" name="Employment_Type" queryTableFieldId="4" dataDxfId="40"/>
    <tableColumn id="5" xr3:uid="{66F86E42-4E2A-4C07-82B8-3FDA2C8C3349}" uniqueName="5" name="Monthly_Income" queryTableFieldId="5"/>
    <tableColumn id="6" xr3:uid="{91860230-22A0-4A5F-BEB5-E7276FA717B2}" uniqueName="6" name="Num_Dependents" queryTableFieldId="6"/>
    <tableColumn id="7" xr3:uid="{5C1737E7-BF1B-420E-9EDD-89CC7698F8D5}" uniqueName="7" name="Loan_ID" queryTableFieldId="7" dataDxfId="39"/>
    <tableColumn id="8" xr3:uid="{749BDC9B-13EB-4692-BE5C-9FF1A2254A7A}" uniqueName="8" name="Loan_Amount" queryTableFieldId="8"/>
    <tableColumn id="9" xr3:uid="{9315C9AB-5CD1-4360-836E-1B30B95C0CFE}" uniqueName="9" name="Loan_Tenure" queryTableFieldId="9"/>
    <tableColumn id="10" xr3:uid="{A5E41A8D-D06E-471B-887A-615E91E69D5E}" uniqueName="10" name="Interest_Rate" queryTableFieldId="10"/>
    <tableColumn id="11" xr3:uid="{FE44328C-EDC8-47CA-881D-963C9DC7F225}" uniqueName="11" name="Loan_Type" queryTableFieldId="11" dataDxfId="38"/>
    <tableColumn id="12" xr3:uid="{4960B055-4217-4905-8986-1B33A902E989}" uniqueName="12" name="Collateral_Value" queryTableFieldId="12"/>
    <tableColumn id="13" xr3:uid="{ADB59373-D32F-438D-B03D-E58AA0D27694}" uniqueName="13" name="Outstanding_Loan_Amount" queryTableFieldId="13"/>
    <tableColumn id="14" xr3:uid="{CECF4F7E-3658-48FA-8E9A-FD6393E51029}" uniqueName="14" name="Monthly_EMI" queryTableFieldId="14"/>
    <tableColumn id="15" xr3:uid="{D51C4FCD-5A8A-49FA-9527-B440B35BCB1C}" uniqueName="15" name="Payment_History" queryTableFieldId="15" dataDxfId="37"/>
    <tableColumn id="16" xr3:uid="{40A18374-8C4D-48EA-BC90-0E8532F6A157}" uniqueName="16" name="Num_Missed_Payments" queryTableFieldId="16"/>
    <tableColumn id="17" xr3:uid="{5DFA1B29-F63D-4E26-AEC4-EEB0808F7DA4}" uniqueName="17" name="Days_Past_Due" queryTableFieldId="17"/>
    <tableColumn id="18" xr3:uid="{6F4AC9B7-C0F7-4A9D-9FCA-835E3EB27B31}" uniqueName="18" name="Recovery_Status" queryTableFieldId="18" dataDxfId="36"/>
    <tableColumn id="19" xr3:uid="{730E00D7-7C83-4C7B-8D24-5F77CF3D81FF}" uniqueName="19" name="Collection_Attempts" queryTableFieldId="19"/>
    <tableColumn id="20" xr3:uid="{9AE30A1D-99B2-4B18-B58B-D840AA7E1F00}" uniqueName="20" name="Collection_Method" queryTableFieldId="20" dataDxfId="35"/>
    <tableColumn id="21" xr3:uid="{A82DEBA5-B682-4BE3-8FB3-6B6900B36EB5}" uniqueName="21" name="Legal_Action_Taken" queryTableFieldId="21"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18E63-5A6E-45D6-AEA2-C9E6AB1E639B}" name="Table1" displayName="Table1" ref="A1:U501" totalsRowShown="0">
  <autoFilter ref="A1:U501" xr:uid="{86B18E63-5A6E-45D6-AEA2-C9E6AB1E639B}"/>
  <tableColumns count="21">
    <tableColumn id="1" xr3:uid="{295DE68E-62FF-4731-BEFB-5AFF543621F5}" name="Borrower_ID"/>
    <tableColumn id="2" xr3:uid="{643DAC73-46C2-46D9-8AB0-23E8E4848527}" name="Age"/>
    <tableColumn id="3" xr3:uid="{87BB6CC5-0E2F-4BA1-96F4-2592C985A588}" name="Gender"/>
    <tableColumn id="4" xr3:uid="{D30B2AA6-805D-4BCC-B6A2-E6A731EFEBDD}" name="Employment_Type"/>
    <tableColumn id="5" xr3:uid="{3126C99C-B691-42C8-B055-C8937E3A53F8}" name="Monthly_Income"/>
    <tableColumn id="6" xr3:uid="{F0D8F4E4-8064-4118-9C11-3DCFB12C6D62}" name="Num_Dependents"/>
    <tableColumn id="7" xr3:uid="{534DF8BB-69C4-4FBD-A20B-D36040C9D9E4}" name="Loan_ID"/>
    <tableColumn id="8" xr3:uid="{B058FE18-1669-44DF-A6DC-6B3DF125D16D}" name="Loan_Amount"/>
    <tableColumn id="9" xr3:uid="{0456F14D-853D-4A25-8322-86EA8D61D1AC}" name="Loan_Tenure"/>
    <tableColumn id="10" xr3:uid="{3736ED20-9051-4A1F-8C4A-1FF2BF796639}" name="Interest_Rate"/>
    <tableColumn id="11" xr3:uid="{21584324-5632-4EF0-8BD7-DA2DA99BA949}" name="Loan_Type"/>
    <tableColumn id="12" xr3:uid="{5ECE3685-401F-4E7F-9DB8-0D29FD896044}" name="Collateral_Value"/>
    <tableColumn id="13" xr3:uid="{C5C17B10-3311-43EF-A0E9-A547D028981B}" name="Outstanding_Loan_Amount"/>
    <tableColumn id="14" xr3:uid="{9C130AFA-BE49-40DC-8D75-20020652F968}" name="Monthly_EMI"/>
    <tableColumn id="15" xr3:uid="{F583D19D-85CE-4C5D-AF8E-D22AB271A57D}" name="Payment_History"/>
    <tableColumn id="16" xr3:uid="{C27E91FA-A6CB-4D33-808F-A90C7F0A9239}" name="Num_Missed_Payments"/>
    <tableColumn id="17" xr3:uid="{49B31667-0B4F-44C2-8F37-E701AEBBFCCC}" name="Days_Past_Due"/>
    <tableColumn id="18" xr3:uid="{88E1EA3D-0256-44B0-86EA-2170E5439391}" name="Recovery_Status"/>
    <tableColumn id="19" xr3:uid="{C1F64D05-22EE-467F-83E7-5CC9C2FE0C22}" name="Collection_Attempts"/>
    <tableColumn id="20" xr3:uid="{F3473D64-A2F8-443D-B0D1-94649FD72F5E}" name="Collection_Method"/>
    <tableColumn id="21" xr3:uid="{8D1C3083-AA0A-43B6-B323-41FBDC55A665}" name="Legal_Action_Tak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7CAE-E04B-4C29-969D-20B7C232DEDF}">
  <dimension ref="A3:X35"/>
  <sheetViews>
    <sheetView tabSelected="1" topLeftCell="M1" workbookViewId="0">
      <selection activeCell="H12" sqref="H12"/>
    </sheetView>
  </sheetViews>
  <sheetFormatPr defaultRowHeight="15" x14ac:dyDescent="0.25"/>
  <cols>
    <col min="1" max="1" width="32.42578125" bestFit="1" customWidth="1"/>
    <col min="2" max="2" width="16.85546875" bestFit="1" customWidth="1"/>
    <col min="3" max="3" width="18.7109375" bestFit="1" customWidth="1"/>
    <col min="4" max="4" width="11.140625" bestFit="1" customWidth="1"/>
    <col min="5" max="5" width="12" bestFit="1" customWidth="1"/>
    <col min="6" max="6" width="18" bestFit="1" customWidth="1"/>
    <col min="7" max="7" width="20.140625" bestFit="1" customWidth="1"/>
    <col min="8" max="8" width="15.28515625" bestFit="1" customWidth="1"/>
    <col min="9" max="9" width="15" bestFit="1" customWidth="1"/>
    <col min="10" max="10" width="20.140625" bestFit="1" customWidth="1"/>
    <col min="11" max="11" width="13.42578125" bestFit="1" customWidth="1"/>
    <col min="12" max="12" width="20.140625" bestFit="1" customWidth="1"/>
    <col min="13" max="13" width="11.28515625" bestFit="1" customWidth="1"/>
    <col min="14" max="14" width="16.5703125" bestFit="1" customWidth="1"/>
    <col min="15" max="15" width="13.42578125" bestFit="1" customWidth="1"/>
    <col min="16" max="16" width="16.5703125" bestFit="1" customWidth="1"/>
    <col min="17" max="17" width="11.28515625" bestFit="1" customWidth="1"/>
    <col min="18" max="18" width="13.42578125" bestFit="1" customWidth="1"/>
    <col min="19" max="19" width="14.7109375" bestFit="1" customWidth="1"/>
    <col min="20" max="20" width="20.140625" bestFit="1" customWidth="1"/>
    <col min="21" max="21" width="32.42578125" bestFit="1" customWidth="1"/>
    <col min="22" max="23" width="12" bestFit="1" customWidth="1"/>
    <col min="24" max="24" width="22.7109375" bestFit="1" customWidth="1"/>
    <col min="25" max="27" width="12" bestFit="1" customWidth="1"/>
    <col min="28" max="28" width="11" bestFit="1" customWidth="1"/>
    <col min="29" max="42" width="12" bestFit="1" customWidth="1"/>
    <col min="43" max="43" width="11" bestFit="1" customWidth="1"/>
    <col min="44" max="48" width="12" bestFit="1" customWidth="1"/>
    <col min="49" max="49" width="11" bestFit="1" customWidth="1"/>
    <col min="50" max="62" width="12" bestFit="1" customWidth="1"/>
    <col min="63" max="63" width="11" bestFit="1" customWidth="1"/>
    <col min="64" max="64" width="10" bestFit="1" customWidth="1"/>
    <col min="65" max="73" width="12" bestFit="1" customWidth="1"/>
    <col min="74" max="74" width="11" bestFit="1" customWidth="1"/>
    <col min="75" max="83" width="12" bestFit="1" customWidth="1"/>
    <col min="84" max="84" width="11" bestFit="1" customWidth="1"/>
    <col min="85" max="95" width="12" bestFit="1" customWidth="1"/>
    <col min="96" max="97" width="11" bestFit="1" customWidth="1"/>
    <col min="98" max="106" width="12" bestFit="1" customWidth="1"/>
    <col min="107" max="107" width="11" bestFit="1" customWidth="1"/>
    <col min="108" max="129" width="12" bestFit="1" customWidth="1"/>
    <col min="130" max="131" width="11" bestFit="1" customWidth="1"/>
    <col min="132" max="153" width="12" bestFit="1" customWidth="1"/>
    <col min="154" max="154" width="11" bestFit="1" customWidth="1"/>
    <col min="155" max="155" width="12" bestFit="1" customWidth="1"/>
    <col min="156" max="156" width="11" bestFit="1" customWidth="1"/>
    <col min="157" max="160" width="12" bestFit="1" customWidth="1"/>
    <col min="161" max="163" width="11" bestFit="1" customWidth="1"/>
    <col min="164" max="179" width="12" bestFit="1" customWidth="1"/>
    <col min="180" max="180" width="11" bestFit="1" customWidth="1"/>
    <col min="181" max="190" width="12" bestFit="1" customWidth="1"/>
    <col min="191" max="191" width="11" bestFit="1" customWidth="1"/>
    <col min="192" max="192" width="9" bestFit="1" customWidth="1"/>
    <col min="193" max="195" width="12" bestFit="1" customWidth="1"/>
    <col min="196" max="196" width="11" bestFit="1" customWidth="1"/>
    <col min="197" max="200" width="12" bestFit="1" customWidth="1"/>
    <col min="201" max="201" width="11" bestFit="1" customWidth="1"/>
    <col min="202" max="214" width="12" bestFit="1" customWidth="1"/>
    <col min="215" max="215" width="11" bestFit="1" customWidth="1"/>
    <col min="216" max="231" width="12" bestFit="1" customWidth="1"/>
    <col min="232" max="232" width="11" bestFit="1" customWidth="1"/>
    <col min="233" max="272" width="12" bestFit="1" customWidth="1"/>
    <col min="273" max="273" width="11" bestFit="1" customWidth="1"/>
    <col min="274" max="292" width="12" bestFit="1" customWidth="1"/>
    <col min="293" max="293" width="11" bestFit="1" customWidth="1"/>
    <col min="294" max="296" width="12" bestFit="1" customWidth="1"/>
    <col min="297" max="297" width="11" bestFit="1" customWidth="1"/>
    <col min="298" max="308" width="12" bestFit="1" customWidth="1"/>
    <col min="309" max="309" width="11" bestFit="1" customWidth="1"/>
    <col min="310" max="311" width="12" bestFit="1" customWidth="1"/>
    <col min="312" max="312" width="11" bestFit="1" customWidth="1"/>
    <col min="313" max="349" width="12" bestFit="1" customWidth="1"/>
    <col min="350" max="350" width="11" bestFit="1" customWidth="1"/>
    <col min="351" max="351" width="12" bestFit="1" customWidth="1"/>
    <col min="352" max="352" width="11" bestFit="1" customWidth="1"/>
    <col min="353" max="373" width="12" bestFit="1" customWidth="1"/>
    <col min="374" max="374" width="11" bestFit="1" customWidth="1"/>
    <col min="375" max="380" width="12" bestFit="1" customWidth="1"/>
    <col min="381" max="382" width="11" bestFit="1" customWidth="1"/>
    <col min="383" max="412" width="12" bestFit="1" customWidth="1"/>
    <col min="413" max="413" width="11" bestFit="1" customWidth="1"/>
    <col min="414" max="415" width="12" bestFit="1" customWidth="1"/>
    <col min="416" max="416" width="10" bestFit="1" customWidth="1"/>
    <col min="417" max="423" width="12" bestFit="1" customWidth="1"/>
    <col min="424" max="424" width="11" bestFit="1" customWidth="1"/>
    <col min="425" max="445" width="12" bestFit="1" customWidth="1"/>
    <col min="446" max="446" width="11" bestFit="1" customWidth="1"/>
    <col min="447" max="451" width="12" bestFit="1" customWidth="1"/>
    <col min="452" max="452" width="11" bestFit="1" customWidth="1"/>
    <col min="453" max="453" width="12" bestFit="1" customWidth="1"/>
    <col min="454" max="455" width="11" bestFit="1" customWidth="1"/>
    <col min="456" max="476" width="12" bestFit="1" customWidth="1"/>
    <col min="477" max="477" width="11" bestFit="1" customWidth="1"/>
    <col min="478" max="479" width="12" bestFit="1" customWidth="1"/>
    <col min="480" max="480" width="11" bestFit="1" customWidth="1"/>
    <col min="481" max="489" width="12" bestFit="1" customWidth="1"/>
    <col min="490" max="490" width="11" bestFit="1" customWidth="1"/>
    <col min="491" max="515" width="12" bestFit="1" customWidth="1"/>
    <col min="516" max="517" width="11" bestFit="1" customWidth="1"/>
    <col min="518" max="518" width="12" bestFit="1" customWidth="1"/>
    <col min="519" max="519" width="11" bestFit="1" customWidth="1"/>
  </cols>
  <sheetData>
    <row r="3" spans="1:24" x14ac:dyDescent="0.25">
      <c r="A3" t="s">
        <v>1042</v>
      </c>
      <c r="H3" s="1" t="s">
        <v>1043</v>
      </c>
      <c r="I3" t="s">
        <v>1044</v>
      </c>
      <c r="K3" s="1" t="s">
        <v>1043</v>
      </c>
      <c r="L3" t="s">
        <v>1044</v>
      </c>
      <c r="O3" s="1" t="s">
        <v>1043</v>
      </c>
      <c r="P3" t="s">
        <v>1042</v>
      </c>
      <c r="R3" s="1" t="s">
        <v>1043</v>
      </c>
      <c r="S3" t="s">
        <v>1047</v>
      </c>
      <c r="U3" t="s">
        <v>1045</v>
      </c>
      <c r="X3" t="s">
        <v>1053</v>
      </c>
    </row>
    <row r="4" spans="1:24" x14ac:dyDescent="0.25">
      <c r="A4" s="9">
        <v>500</v>
      </c>
      <c r="H4" s="2" t="s">
        <v>58</v>
      </c>
      <c r="I4" s="7">
        <v>0.10461232741351706</v>
      </c>
      <c r="K4" s="2" t="s">
        <v>910</v>
      </c>
      <c r="L4" s="8">
        <v>1977716</v>
      </c>
      <c r="O4" s="2" t="s">
        <v>31</v>
      </c>
      <c r="P4" s="9">
        <v>189</v>
      </c>
      <c r="R4" s="2" t="s">
        <v>1048</v>
      </c>
      <c r="S4" s="7">
        <v>0.218</v>
      </c>
      <c r="U4" s="9">
        <v>281362988.34214187</v>
      </c>
      <c r="X4" s="9">
        <v>46.103999999999999</v>
      </c>
    </row>
    <row r="5" spans="1:24" x14ac:dyDescent="0.25">
      <c r="H5" s="2" t="s">
        <v>49</v>
      </c>
      <c r="I5" s="7">
        <v>0.31229610296985455</v>
      </c>
      <c r="K5" s="2" t="s">
        <v>62</v>
      </c>
      <c r="L5" s="8">
        <v>1980750</v>
      </c>
      <c r="O5" s="2" t="s">
        <v>22</v>
      </c>
      <c r="P5" s="9">
        <v>311</v>
      </c>
      <c r="R5" s="2" t="s">
        <v>1049</v>
      </c>
      <c r="S5" s="7">
        <v>0.186</v>
      </c>
    </row>
    <row r="6" spans="1:24" x14ac:dyDescent="0.25">
      <c r="A6" s="1" t="s">
        <v>1045</v>
      </c>
      <c r="B6" s="1" t="s">
        <v>1046</v>
      </c>
      <c r="H6" s="2" t="s">
        <v>23</v>
      </c>
      <c r="I6" s="7">
        <v>0.58309156961662845</v>
      </c>
      <c r="K6" s="2" t="s">
        <v>490</v>
      </c>
      <c r="L6" s="8">
        <v>1989253</v>
      </c>
      <c r="R6" s="2" t="s">
        <v>1050</v>
      </c>
      <c r="S6" s="7">
        <v>0.25800000000000001</v>
      </c>
    </row>
    <row r="7" spans="1:24" x14ac:dyDescent="0.25">
      <c r="A7" s="1" t="s">
        <v>1043</v>
      </c>
      <c r="B7" t="s">
        <v>34</v>
      </c>
      <c r="C7" t="s">
        <v>27</v>
      </c>
      <c r="D7" t="s">
        <v>65</v>
      </c>
      <c r="K7" s="2" t="s">
        <v>540</v>
      </c>
      <c r="L7" s="8">
        <v>1995049</v>
      </c>
      <c r="R7" s="2" t="s">
        <v>1051</v>
      </c>
      <c r="S7" s="7">
        <v>0.254</v>
      </c>
    </row>
    <row r="8" spans="1:24" x14ac:dyDescent="0.25">
      <c r="A8" s="2" t="s">
        <v>33</v>
      </c>
      <c r="B8" s="8">
        <v>31622940.035353862</v>
      </c>
      <c r="C8" s="8">
        <v>13243438.70321817</v>
      </c>
      <c r="D8" s="8">
        <v>2894331.4897875106</v>
      </c>
      <c r="K8" s="2" t="s">
        <v>880</v>
      </c>
      <c r="L8" s="8">
        <v>1995325</v>
      </c>
      <c r="O8" s="1" t="s">
        <v>1043</v>
      </c>
      <c r="P8" t="s">
        <v>1042</v>
      </c>
      <c r="R8" s="2" t="s">
        <v>1052</v>
      </c>
      <c r="S8" s="7">
        <v>8.4000000000000005E-2</v>
      </c>
      <c r="U8" t="s">
        <v>1044</v>
      </c>
    </row>
    <row r="9" spans="1:24" x14ac:dyDescent="0.25">
      <c r="A9" s="2" t="s">
        <v>64</v>
      </c>
      <c r="B9" s="8">
        <v>18361304.849437676</v>
      </c>
      <c r="C9" s="8">
        <v>7289312.7515314203</v>
      </c>
      <c r="D9" s="8">
        <v>4082090.7202103627</v>
      </c>
      <c r="O9" s="2" t="s">
        <v>64</v>
      </c>
      <c r="P9" s="7">
        <v>9.8000000000000004E-2</v>
      </c>
      <c r="U9" s="9">
        <v>512453516</v>
      </c>
    </row>
    <row r="10" spans="1:24" x14ac:dyDescent="0.25">
      <c r="A10" s="2" t="s">
        <v>25</v>
      </c>
      <c r="B10" s="8">
        <v>58138125.23045671</v>
      </c>
      <c r="C10" s="8">
        <v>20567807.642937545</v>
      </c>
      <c r="D10" s="8">
        <v>3304848.4249299797</v>
      </c>
      <c r="O10" s="2" t="s">
        <v>33</v>
      </c>
      <c r="P10" s="7">
        <v>0.17399999999999999</v>
      </c>
    </row>
    <row r="11" spans="1:24" x14ac:dyDescent="0.25">
      <c r="A11" s="2" t="s">
        <v>44</v>
      </c>
      <c r="B11" s="8">
        <v>65336943.358809665</v>
      </c>
      <c r="C11" s="8">
        <v>44018533.639799982</v>
      </c>
      <c r="D11" s="8">
        <v>12503311.495668733</v>
      </c>
      <c r="F11" s="1" t="s">
        <v>1043</v>
      </c>
      <c r="G11" t="s">
        <v>1044</v>
      </c>
      <c r="O11" s="2" t="s">
        <v>25</v>
      </c>
      <c r="P11" s="7">
        <v>0.28799999999999998</v>
      </c>
    </row>
    <row r="12" spans="1:24" x14ac:dyDescent="0.25">
      <c r="F12" s="2" t="s">
        <v>34</v>
      </c>
      <c r="G12" s="8">
        <v>308463272</v>
      </c>
      <c r="O12" s="2" t="s">
        <v>44</v>
      </c>
      <c r="P12" s="7">
        <v>0.44</v>
      </c>
    </row>
    <row r="13" spans="1:24" x14ac:dyDescent="0.25">
      <c r="F13" s="2" t="s">
        <v>27</v>
      </c>
      <c r="G13" s="8">
        <v>160920640</v>
      </c>
      <c r="S13" s="1" t="s">
        <v>8</v>
      </c>
      <c r="T13" t="s">
        <v>1044</v>
      </c>
      <c r="U13" t="s">
        <v>1045</v>
      </c>
    </row>
    <row r="14" spans="1:24" x14ac:dyDescent="0.25">
      <c r="F14" s="2" t="s">
        <v>65</v>
      </c>
      <c r="G14" s="8">
        <v>43069604</v>
      </c>
      <c r="S14">
        <v>12</v>
      </c>
      <c r="T14" s="8">
        <v>45397385</v>
      </c>
      <c r="U14" s="8">
        <v>24658775.061014071</v>
      </c>
    </row>
    <row r="15" spans="1:24" x14ac:dyDescent="0.25">
      <c r="S15">
        <v>24</v>
      </c>
      <c r="T15" s="8">
        <v>56466359</v>
      </c>
      <c r="U15" s="8">
        <v>33748662.369114205</v>
      </c>
    </row>
    <row r="16" spans="1:24" x14ac:dyDescent="0.25">
      <c r="S16">
        <v>36</v>
      </c>
      <c r="T16" s="8">
        <v>112137378</v>
      </c>
      <c r="U16" s="8">
        <v>59711460.42457965</v>
      </c>
    </row>
    <row r="17" spans="1:21" x14ac:dyDescent="0.25">
      <c r="A17" s="2"/>
      <c r="S17">
        <v>48</v>
      </c>
      <c r="T17" s="8">
        <v>104924774</v>
      </c>
      <c r="U17" s="8">
        <v>55143429.25159882</v>
      </c>
    </row>
    <row r="18" spans="1:21" x14ac:dyDescent="0.25">
      <c r="A18" s="2"/>
      <c r="I18" t="s">
        <v>1053</v>
      </c>
      <c r="S18">
        <v>60</v>
      </c>
      <c r="T18" s="8">
        <v>106701823</v>
      </c>
      <c r="U18" s="8">
        <v>57889661.139327459</v>
      </c>
    </row>
    <row r="19" spans="1:21" x14ac:dyDescent="0.25">
      <c r="A19" s="2"/>
      <c r="I19" s="5">
        <v>46.103999999999999</v>
      </c>
      <c r="S19">
        <v>72</v>
      </c>
      <c r="T19" s="8">
        <v>86825797</v>
      </c>
      <c r="U19" s="8">
        <v>50211000.096507378</v>
      </c>
    </row>
    <row r="20" spans="1:21" x14ac:dyDescent="0.25">
      <c r="A20" s="2"/>
    </row>
    <row r="21" spans="1:21" x14ac:dyDescent="0.25">
      <c r="A21" s="2"/>
    </row>
    <row r="22" spans="1:21" x14ac:dyDescent="0.25">
      <c r="A22" s="2"/>
      <c r="I22" t="s">
        <v>1045</v>
      </c>
    </row>
    <row r="23" spans="1:21" x14ac:dyDescent="0.25">
      <c r="A23" s="2"/>
      <c r="I23" s="8">
        <v>281362988.34214187</v>
      </c>
    </row>
    <row r="24" spans="1:21" x14ac:dyDescent="0.25">
      <c r="A24" s="2"/>
    </row>
    <row r="25" spans="1:21" x14ac:dyDescent="0.25">
      <c r="A25" s="2"/>
    </row>
    <row r="27" spans="1:21" x14ac:dyDescent="0.25">
      <c r="I27" t="s">
        <v>1044</v>
      </c>
    </row>
    <row r="28" spans="1:21" x14ac:dyDescent="0.25">
      <c r="I28" s="8">
        <v>512453516</v>
      </c>
    </row>
    <row r="31" spans="1:21" x14ac:dyDescent="0.25">
      <c r="I31" s="1" t="s">
        <v>1043</v>
      </c>
      <c r="J31" t="s">
        <v>1044</v>
      </c>
    </row>
    <row r="32" spans="1:21" x14ac:dyDescent="0.25">
      <c r="I32" s="2" t="s">
        <v>41</v>
      </c>
      <c r="J32" s="5">
        <v>130497629</v>
      </c>
    </row>
    <row r="33" spans="9:10" x14ac:dyDescent="0.25">
      <c r="I33" s="2" t="s">
        <v>45</v>
      </c>
      <c r="J33" s="5">
        <v>130149708</v>
      </c>
    </row>
    <row r="34" spans="9:10" x14ac:dyDescent="0.25">
      <c r="I34" s="2" t="s">
        <v>38</v>
      </c>
      <c r="J34" s="5">
        <v>136185135</v>
      </c>
    </row>
    <row r="35" spans="9:10" x14ac:dyDescent="0.25">
      <c r="I35" s="2" t="s">
        <v>28</v>
      </c>
      <c r="J35" s="5">
        <v>115621044</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6CAE7-CF34-4E9F-8BC4-DB712D0D461D}">
  <dimension ref="A1"/>
  <sheetViews>
    <sheetView showGridLines="0" zoomScaleNormal="100" workbookViewId="0">
      <selection activeCell="X22" sqref="X22"/>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BB3C-0491-472C-BB0D-23BDBBD33D6E}">
  <dimension ref="A1:U501"/>
  <sheetViews>
    <sheetView topLeftCell="A2" workbookViewId="0">
      <selection activeCell="I21" sqref="I21"/>
    </sheetView>
  </sheetViews>
  <sheetFormatPr defaultRowHeight="15" x14ac:dyDescent="0.25"/>
  <cols>
    <col min="1" max="1" width="14.28515625" bestFit="1" customWidth="1"/>
    <col min="2" max="2" width="6.5703125" bestFit="1" customWidth="1"/>
    <col min="3" max="3" width="10" bestFit="1" customWidth="1"/>
    <col min="4" max="4" width="20.140625" bestFit="1" customWidth="1"/>
    <col min="5" max="5" width="18.28515625" bestFit="1" customWidth="1"/>
    <col min="6" max="6" width="19.85546875" bestFit="1" customWidth="1"/>
    <col min="7" max="7" width="10.42578125" bestFit="1" customWidth="1"/>
    <col min="8" max="8" width="15.5703125" bestFit="1" customWidth="1"/>
    <col min="9" max="9" width="14.7109375" bestFit="1" customWidth="1"/>
    <col min="10" max="10" width="15.5703125" bestFit="1" customWidth="1"/>
    <col min="11" max="11" width="12.7109375" bestFit="1" customWidth="1"/>
    <col min="12" max="12" width="18.140625" bestFit="1" customWidth="1"/>
    <col min="13" max="13" width="27.85546875" bestFit="1" customWidth="1"/>
    <col min="14" max="14" width="14.7109375" bestFit="1" customWidth="1"/>
    <col min="15" max="15" width="18.7109375" bestFit="1" customWidth="1"/>
    <col min="16" max="16" width="25" bestFit="1" customWidth="1"/>
    <col min="17" max="17" width="17.140625" bestFit="1" customWidth="1"/>
    <col min="18" max="18" width="18.42578125" bestFit="1" customWidth="1"/>
    <col min="19" max="19" width="22.140625" bestFit="1" customWidth="1"/>
    <col min="20" max="20" width="20.7109375" bestFit="1" customWidth="1"/>
    <col min="21" max="21" width="21"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59</v>
      </c>
      <c r="C2" t="s">
        <v>22</v>
      </c>
      <c r="D2" t="s">
        <v>23</v>
      </c>
      <c r="E2">
        <v>215422</v>
      </c>
      <c r="F2">
        <v>0</v>
      </c>
      <c r="G2" t="s">
        <v>24</v>
      </c>
      <c r="H2">
        <v>1445796</v>
      </c>
      <c r="I2">
        <v>60</v>
      </c>
      <c r="J2">
        <v>12.39</v>
      </c>
      <c r="K2" t="s">
        <v>25</v>
      </c>
      <c r="L2">
        <v>1727997.2578966499</v>
      </c>
      <c r="M2">
        <v>291413.005791598</v>
      </c>
      <c r="N2">
        <v>4856.88</v>
      </c>
      <c r="O2" t="s">
        <v>26</v>
      </c>
      <c r="P2">
        <v>0</v>
      </c>
      <c r="Q2">
        <v>0</v>
      </c>
      <c r="R2" t="s">
        <v>27</v>
      </c>
      <c r="S2">
        <v>1</v>
      </c>
      <c r="T2" t="s">
        <v>28</v>
      </c>
      <c r="U2" t="s">
        <v>29</v>
      </c>
    </row>
    <row r="3" spans="1:21" x14ac:dyDescent="0.25">
      <c r="A3" t="s">
        <v>30</v>
      </c>
      <c r="B3">
        <v>49</v>
      </c>
      <c r="C3" t="s">
        <v>31</v>
      </c>
      <c r="D3" t="s">
        <v>23</v>
      </c>
      <c r="E3">
        <v>60893</v>
      </c>
      <c r="F3">
        <v>0</v>
      </c>
      <c r="G3" t="s">
        <v>32</v>
      </c>
      <c r="H3">
        <v>1044620</v>
      </c>
      <c r="I3">
        <v>12</v>
      </c>
      <c r="J3">
        <v>13.47</v>
      </c>
      <c r="K3" t="s">
        <v>33</v>
      </c>
      <c r="L3">
        <v>1180032.3616897501</v>
      </c>
      <c r="M3">
        <v>665204.15391295101</v>
      </c>
      <c r="N3">
        <v>55433.68</v>
      </c>
      <c r="O3" t="s">
        <v>26</v>
      </c>
      <c r="P3">
        <v>0</v>
      </c>
      <c r="Q3">
        <v>0</v>
      </c>
      <c r="R3" t="s">
        <v>34</v>
      </c>
      <c r="S3">
        <v>2</v>
      </c>
      <c r="T3" t="s">
        <v>28</v>
      </c>
      <c r="U3" t="s">
        <v>29</v>
      </c>
    </row>
    <row r="4" spans="1:21" x14ac:dyDescent="0.25">
      <c r="A4" t="s">
        <v>35</v>
      </c>
      <c r="B4">
        <v>35</v>
      </c>
      <c r="C4" t="s">
        <v>22</v>
      </c>
      <c r="D4" t="s">
        <v>23</v>
      </c>
      <c r="E4">
        <v>116520</v>
      </c>
      <c r="F4">
        <v>1</v>
      </c>
      <c r="G4" t="s">
        <v>36</v>
      </c>
      <c r="H4">
        <v>1923410</v>
      </c>
      <c r="I4">
        <v>72</v>
      </c>
      <c r="J4">
        <v>7.74</v>
      </c>
      <c r="K4" t="s">
        <v>25</v>
      </c>
      <c r="L4">
        <v>2622539.93058324</v>
      </c>
      <c r="M4">
        <v>1031371.99739342</v>
      </c>
      <c r="N4">
        <v>14324.61</v>
      </c>
      <c r="O4" t="s">
        <v>37</v>
      </c>
      <c r="P4">
        <v>2</v>
      </c>
      <c r="Q4">
        <v>124</v>
      </c>
      <c r="R4" t="s">
        <v>34</v>
      </c>
      <c r="S4">
        <v>2</v>
      </c>
      <c r="T4" t="s">
        <v>38</v>
      </c>
      <c r="U4" t="s">
        <v>29</v>
      </c>
    </row>
    <row r="5" spans="1:21" x14ac:dyDescent="0.25">
      <c r="A5" t="s">
        <v>39</v>
      </c>
      <c r="B5">
        <v>63</v>
      </c>
      <c r="C5" t="s">
        <v>31</v>
      </c>
      <c r="D5" t="s">
        <v>23</v>
      </c>
      <c r="E5">
        <v>140818</v>
      </c>
      <c r="F5">
        <v>2</v>
      </c>
      <c r="G5" t="s">
        <v>40</v>
      </c>
      <c r="H5">
        <v>1811663</v>
      </c>
      <c r="I5">
        <v>36</v>
      </c>
      <c r="J5">
        <v>12.23</v>
      </c>
      <c r="K5" t="s">
        <v>25</v>
      </c>
      <c r="L5">
        <v>1145492.6801053199</v>
      </c>
      <c r="M5">
        <v>224973.921257009</v>
      </c>
      <c r="N5">
        <v>6249.28</v>
      </c>
      <c r="O5" t="s">
        <v>26</v>
      </c>
      <c r="P5">
        <v>1</v>
      </c>
      <c r="Q5">
        <v>56</v>
      </c>
      <c r="R5" t="s">
        <v>34</v>
      </c>
      <c r="S5">
        <v>2</v>
      </c>
      <c r="T5" t="s">
        <v>41</v>
      </c>
      <c r="U5" t="s">
        <v>29</v>
      </c>
    </row>
    <row r="6" spans="1:21" x14ac:dyDescent="0.25">
      <c r="A6" t="s">
        <v>42</v>
      </c>
      <c r="B6">
        <v>28</v>
      </c>
      <c r="C6" t="s">
        <v>22</v>
      </c>
      <c r="D6" t="s">
        <v>23</v>
      </c>
      <c r="E6">
        <v>76272</v>
      </c>
      <c r="F6">
        <v>1</v>
      </c>
      <c r="G6" t="s">
        <v>43</v>
      </c>
      <c r="H6">
        <v>88578</v>
      </c>
      <c r="I6">
        <v>48</v>
      </c>
      <c r="J6">
        <v>16.13</v>
      </c>
      <c r="K6" t="s">
        <v>44</v>
      </c>
      <c r="L6">
        <v>0</v>
      </c>
      <c r="M6">
        <v>39189.892007881899</v>
      </c>
      <c r="N6">
        <v>816.46</v>
      </c>
      <c r="O6" t="s">
        <v>26</v>
      </c>
      <c r="P6">
        <v>1</v>
      </c>
      <c r="Q6">
        <v>69</v>
      </c>
      <c r="R6" t="s">
        <v>34</v>
      </c>
      <c r="S6">
        <v>0</v>
      </c>
      <c r="T6" t="s">
        <v>45</v>
      </c>
      <c r="U6" t="s">
        <v>29</v>
      </c>
    </row>
    <row r="7" spans="1:21" x14ac:dyDescent="0.25">
      <c r="A7" t="s">
        <v>46</v>
      </c>
      <c r="B7">
        <v>41</v>
      </c>
      <c r="C7" t="s">
        <v>22</v>
      </c>
      <c r="D7" t="s">
        <v>23</v>
      </c>
      <c r="E7">
        <v>238224</v>
      </c>
      <c r="F7">
        <v>3</v>
      </c>
      <c r="G7" t="s">
        <v>47</v>
      </c>
      <c r="H7">
        <v>664741</v>
      </c>
      <c r="I7">
        <v>36</v>
      </c>
      <c r="J7">
        <v>15.86</v>
      </c>
      <c r="K7" t="s">
        <v>33</v>
      </c>
      <c r="L7">
        <v>982214.62782972399</v>
      </c>
      <c r="M7">
        <v>129965.525042383</v>
      </c>
      <c r="N7">
        <v>3610.15</v>
      </c>
      <c r="O7" t="s">
        <v>26</v>
      </c>
      <c r="P7">
        <v>1</v>
      </c>
      <c r="Q7">
        <v>111</v>
      </c>
      <c r="R7" t="s">
        <v>27</v>
      </c>
      <c r="S7">
        <v>6</v>
      </c>
      <c r="T7" t="s">
        <v>38</v>
      </c>
      <c r="U7" t="s">
        <v>29</v>
      </c>
    </row>
    <row r="8" spans="1:21" x14ac:dyDescent="0.25">
      <c r="A8" t="s">
        <v>48</v>
      </c>
      <c r="B8">
        <v>59</v>
      </c>
      <c r="C8" t="s">
        <v>31</v>
      </c>
      <c r="D8" t="s">
        <v>49</v>
      </c>
      <c r="E8">
        <v>82649</v>
      </c>
      <c r="F8">
        <v>1</v>
      </c>
      <c r="G8" t="s">
        <v>50</v>
      </c>
      <c r="H8">
        <v>1514110</v>
      </c>
      <c r="I8">
        <v>60</v>
      </c>
      <c r="J8">
        <v>17.059999999999999</v>
      </c>
      <c r="K8" t="s">
        <v>25</v>
      </c>
      <c r="L8">
        <v>1639218.85925618</v>
      </c>
      <c r="M8">
        <v>875490.42327256605</v>
      </c>
      <c r="N8">
        <v>14591.51</v>
      </c>
      <c r="O8" t="s">
        <v>26</v>
      </c>
      <c r="P8">
        <v>0</v>
      </c>
      <c r="Q8">
        <v>0</v>
      </c>
      <c r="R8" t="s">
        <v>27</v>
      </c>
      <c r="S8">
        <v>8</v>
      </c>
      <c r="T8" t="s">
        <v>45</v>
      </c>
      <c r="U8" t="s">
        <v>29</v>
      </c>
    </row>
    <row r="9" spans="1:21" x14ac:dyDescent="0.25">
      <c r="A9" t="s">
        <v>51</v>
      </c>
      <c r="B9">
        <v>39</v>
      </c>
      <c r="C9" t="s">
        <v>22</v>
      </c>
      <c r="D9" t="s">
        <v>23</v>
      </c>
      <c r="E9">
        <v>79674</v>
      </c>
      <c r="F9">
        <v>0</v>
      </c>
      <c r="G9" t="s">
        <v>52</v>
      </c>
      <c r="H9">
        <v>912147</v>
      </c>
      <c r="I9">
        <v>12</v>
      </c>
      <c r="J9">
        <v>9.76</v>
      </c>
      <c r="K9" t="s">
        <v>44</v>
      </c>
      <c r="L9">
        <v>0</v>
      </c>
      <c r="M9">
        <v>416121.38085230102</v>
      </c>
      <c r="N9">
        <v>34676.78</v>
      </c>
      <c r="O9" t="s">
        <v>37</v>
      </c>
      <c r="P9">
        <v>0</v>
      </c>
      <c r="Q9">
        <v>0</v>
      </c>
      <c r="R9" t="s">
        <v>34</v>
      </c>
      <c r="S9">
        <v>0</v>
      </c>
      <c r="T9" t="s">
        <v>28</v>
      </c>
      <c r="U9" t="s">
        <v>29</v>
      </c>
    </row>
    <row r="10" spans="1:21" x14ac:dyDescent="0.25">
      <c r="A10" t="s">
        <v>53</v>
      </c>
      <c r="B10">
        <v>43</v>
      </c>
      <c r="C10" t="s">
        <v>22</v>
      </c>
      <c r="D10" t="s">
        <v>49</v>
      </c>
      <c r="E10">
        <v>159832</v>
      </c>
      <c r="F10">
        <v>3</v>
      </c>
      <c r="G10" t="s">
        <v>54</v>
      </c>
      <c r="H10">
        <v>258859</v>
      </c>
      <c r="I10">
        <v>72</v>
      </c>
      <c r="J10">
        <v>9.1300000000000008</v>
      </c>
      <c r="K10" t="s">
        <v>25</v>
      </c>
      <c r="L10">
        <v>387116.94360234402</v>
      </c>
      <c r="M10">
        <v>168733.801500595</v>
      </c>
      <c r="N10">
        <v>2343.5300000000002</v>
      </c>
      <c r="O10" t="s">
        <v>26</v>
      </c>
      <c r="P10">
        <v>3</v>
      </c>
      <c r="Q10">
        <v>124</v>
      </c>
      <c r="R10" t="s">
        <v>34</v>
      </c>
      <c r="S10">
        <v>3</v>
      </c>
      <c r="T10" t="s">
        <v>28</v>
      </c>
      <c r="U10" t="s">
        <v>29</v>
      </c>
    </row>
    <row r="11" spans="1:21" x14ac:dyDescent="0.25">
      <c r="A11" t="s">
        <v>55</v>
      </c>
      <c r="B11">
        <v>31</v>
      </c>
      <c r="C11" t="s">
        <v>22</v>
      </c>
      <c r="D11" t="s">
        <v>49</v>
      </c>
      <c r="E11">
        <v>167999</v>
      </c>
      <c r="F11">
        <v>0</v>
      </c>
      <c r="G11" t="s">
        <v>56</v>
      </c>
      <c r="H11">
        <v>161435</v>
      </c>
      <c r="I11">
        <v>60</v>
      </c>
      <c r="J11">
        <v>14.74</v>
      </c>
      <c r="K11" t="s">
        <v>44</v>
      </c>
      <c r="L11">
        <v>0</v>
      </c>
      <c r="M11">
        <v>133190.65476845601</v>
      </c>
      <c r="N11">
        <v>2219.84</v>
      </c>
      <c r="O11" t="s">
        <v>37</v>
      </c>
      <c r="P11">
        <v>0</v>
      </c>
      <c r="Q11">
        <v>0</v>
      </c>
      <c r="R11" t="s">
        <v>27</v>
      </c>
      <c r="S11">
        <v>6</v>
      </c>
      <c r="T11" t="s">
        <v>38</v>
      </c>
      <c r="U11" t="s">
        <v>29</v>
      </c>
    </row>
    <row r="12" spans="1:21" x14ac:dyDescent="0.25">
      <c r="A12" t="s">
        <v>57</v>
      </c>
      <c r="B12">
        <v>31</v>
      </c>
      <c r="C12" t="s">
        <v>22</v>
      </c>
      <c r="D12" t="s">
        <v>58</v>
      </c>
      <c r="E12">
        <v>101475</v>
      </c>
      <c r="F12">
        <v>2</v>
      </c>
      <c r="G12" t="s">
        <v>59</v>
      </c>
      <c r="H12">
        <v>790389</v>
      </c>
      <c r="I12">
        <v>24</v>
      </c>
      <c r="J12">
        <v>10.6</v>
      </c>
      <c r="K12" t="s">
        <v>33</v>
      </c>
      <c r="L12">
        <v>1115645.71266238</v>
      </c>
      <c r="M12">
        <v>292208.24821751303</v>
      </c>
      <c r="N12">
        <v>12175.34</v>
      </c>
      <c r="O12" t="s">
        <v>26</v>
      </c>
      <c r="P12">
        <v>0</v>
      </c>
      <c r="Q12">
        <v>0</v>
      </c>
      <c r="R12" t="s">
        <v>34</v>
      </c>
      <c r="S12">
        <v>0</v>
      </c>
      <c r="T12" t="s">
        <v>41</v>
      </c>
      <c r="U12" t="s">
        <v>29</v>
      </c>
    </row>
    <row r="13" spans="1:21" x14ac:dyDescent="0.25">
      <c r="A13" t="s">
        <v>60</v>
      </c>
      <c r="B13">
        <v>44</v>
      </c>
      <c r="C13" t="s">
        <v>31</v>
      </c>
      <c r="D13" t="s">
        <v>49</v>
      </c>
      <c r="E13">
        <v>76367</v>
      </c>
      <c r="F13">
        <v>0</v>
      </c>
      <c r="G13" t="s">
        <v>61</v>
      </c>
      <c r="H13">
        <v>1250114</v>
      </c>
      <c r="I13">
        <v>60</v>
      </c>
      <c r="J13">
        <v>6.14</v>
      </c>
      <c r="K13" t="s">
        <v>25</v>
      </c>
      <c r="L13">
        <v>901978.84311040305</v>
      </c>
      <c r="M13">
        <v>1207474.9788615401</v>
      </c>
      <c r="N13">
        <v>20124.580000000002</v>
      </c>
      <c r="O13" t="s">
        <v>26</v>
      </c>
      <c r="P13">
        <v>0</v>
      </c>
      <c r="Q13">
        <v>0</v>
      </c>
      <c r="R13" t="s">
        <v>34</v>
      </c>
      <c r="S13">
        <v>1</v>
      </c>
      <c r="T13" t="s">
        <v>28</v>
      </c>
      <c r="U13" t="s">
        <v>29</v>
      </c>
    </row>
    <row r="14" spans="1:21" x14ac:dyDescent="0.25">
      <c r="A14" t="s">
        <v>62</v>
      </c>
      <c r="B14">
        <v>56</v>
      </c>
      <c r="C14" t="s">
        <v>22</v>
      </c>
      <c r="D14" t="s">
        <v>49</v>
      </c>
      <c r="E14">
        <v>244027</v>
      </c>
      <c r="F14">
        <v>0</v>
      </c>
      <c r="G14" t="s">
        <v>63</v>
      </c>
      <c r="H14">
        <v>1980750</v>
      </c>
      <c r="I14">
        <v>60</v>
      </c>
      <c r="J14">
        <v>8.68</v>
      </c>
      <c r="K14" t="s">
        <v>64</v>
      </c>
      <c r="L14">
        <v>1101617.90111599</v>
      </c>
      <c r="M14">
        <v>1152937.2333349499</v>
      </c>
      <c r="N14">
        <v>19215.62</v>
      </c>
      <c r="O14" t="s">
        <v>37</v>
      </c>
      <c r="P14">
        <v>1</v>
      </c>
      <c r="Q14">
        <v>7</v>
      </c>
      <c r="R14" t="s">
        <v>65</v>
      </c>
      <c r="S14">
        <v>8</v>
      </c>
      <c r="T14" t="s">
        <v>45</v>
      </c>
      <c r="U14" t="s">
        <v>29</v>
      </c>
    </row>
    <row r="15" spans="1:21" x14ac:dyDescent="0.25">
      <c r="A15" t="s">
        <v>66</v>
      </c>
      <c r="B15">
        <v>60</v>
      </c>
      <c r="C15" t="s">
        <v>22</v>
      </c>
      <c r="D15" t="s">
        <v>58</v>
      </c>
      <c r="E15">
        <v>158660</v>
      </c>
      <c r="F15">
        <v>1</v>
      </c>
      <c r="G15" t="s">
        <v>67</v>
      </c>
      <c r="H15">
        <v>95475</v>
      </c>
      <c r="I15">
        <v>48</v>
      </c>
      <c r="J15">
        <v>10.44</v>
      </c>
      <c r="K15" t="s">
        <v>44</v>
      </c>
      <c r="L15">
        <v>0</v>
      </c>
      <c r="M15">
        <v>62675.682610001997</v>
      </c>
      <c r="N15">
        <v>1305.74</v>
      </c>
      <c r="O15" t="s">
        <v>68</v>
      </c>
      <c r="P15">
        <v>3</v>
      </c>
      <c r="Q15">
        <v>99</v>
      </c>
      <c r="R15" t="s">
        <v>34</v>
      </c>
      <c r="S15">
        <v>2</v>
      </c>
      <c r="T15" t="s">
        <v>45</v>
      </c>
      <c r="U15" t="s">
        <v>29</v>
      </c>
    </row>
    <row r="16" spans="1:21" x14ac:dyDescent="0.25">
      <c r="A16" t="s">
        <v>69</v>
      </c>
      <c r="B16">
        <v>44</v>
      </c>
      <c r="C16" t="s">
        <v>22</v>
      </c>
      <c r="D16" t="s">
        <v>58</v>
      </c>
      <c r="E16">
        <v>136750</v>
      </c>
      <c r="F16">
        <v>0</v>
      </c>
      <c r="G16" t="s">
        <v>70</v>
      </c>
      <c r="H16">
        <v>896574</v>
      </c>
      <c r="I16">
        <v>36</v>
      </c>
      <c r="J16">
        <v>8.8000000000000007</v>
      </c>
      <c r="K16" t="s">
        <v>33</v>
      </c>
      <c r="L16">
        <v>677486.36488048197</v>
      </c>
      <c r="M16">
        <v>638903.237117243</v>
      </c>
      <c r="N16">
        <v>17747.310000000001</v>
      </c>
      <c r="O16" t="s">
        <v>37</v>
      </c>
      <c r="P16">
        <v>0</v>
      </c>
      <c r="Q16">
        <v>0</v>
      </c>
      <c r="R16" t="s">
        <v>65</v>
      </c>
      <c r="S16">
        <v>9</v>
      </c>
      <c r="T16" t="s">
        <v>38</v>
      </c>
      <c r="U16" t="s">
        <v>29</v>
      </c>
    </row>
    <row r="17" spans="1:21" x14ac:dyDescent="0.25">
      <c r="A17" t="s">
        <v>71</v>
      </c>
      <c r="B17">
        <v>23</v>
      </c>
      <c r="C17" t="s">
        <v>31</v>
      </c>
      <c r="D17" t="s">
        <v>23</v>
      </c>
      <c r="E17">
        <v>247750</v>
      </c>
      <c r="F17">
        <v>3</v>
      </c>
      <c r="G17" t="s">
        <v>72</v>
      </c>
      <c r="H17">
        <v>1839096</v>
      </c>
      <c r="I17">
        <v>36</v>
      </c>
      <c r="J17">
        <v>9.32</v>
      </c>
      <c r="K17" t="s">
        <v>25</v>
      </c>
      <c r="L17">
        <v>1889788.1966202401</v>
      </c>
      <c r="M17">
        <v>1287474.5606714799</v>
      </c>
      <c r="N17">
        <v>35763.18</v>
      </c>
      <c r="O17" t="s">
        <v>26</v>
      </c>
      <c r="P17">
        <v>1</v>
      </c>
      <c r="Q17">
        <v>86</v>
      </c>
      <c r="R17" t="s">
        <v>34</v>
      </c>
      <c r="S17">
        <v>3</v>
      </c>
      <c r="T17" t="s">
        <v>45</v>
      </c>
      <c r="U17" t="s">
        <v>29</v>
      </c>
    </row>
    <row r="18" spans="1:21" x14ac:dyDescent="0.25">
      <c r="A18" t="s">
        <v>73</v>
      </c>
      <c r="B18">
        <v>42</v>
      </c>
      <c r="C18" t="s">
        <v>22</v>
      </c>
      <c r="D18" t="s">
        <v>23</v>
      </c>
      <c r="E18">
        <v>133154</v>
      </c>
      <c r="F18">
        <v>3</v>
      </c>
      <c r="G18" t="s">
        <v>74</v>
      </c>
      <c r="H18">
        <v>1256212</v>
      </c>
      <c r="I18">
        <v>24</v>
      </c>
      <c r="J18">
        <v>8.82</v>
      </c>
      <c r="K18" t="s">
        <v>33</v>
      </c>
      <c r="L18">
        <v>843667.41546369705</v>
      </c>
      <c r="M18">
        <v>703320.02115591103</v>
      </c>
      <c r="N18">
        <v>29305</v>
      </c>
      <c r="O18" t="s">
        <v>26</v>
      </c>
      <c r="P18">
        <v>3</v>
      </c>
      <c r="Q18">
        <v>171</v>
      </c>
      <c r="R18" t="s">
        <v>34</v>
      </c>
      <c r="S18">
        <v>3</v>
      </c>
      <c r="T18" t="s">
        <v>41</v>
      </c>
      <c r="U18" t="s">
        <v>29</v>
      </c>
    </row>
    <row r="19" spans="1:21" x14ac:dyDescent="0.25">
      <c r="A19" t="s">
        <v>75</v>
      </c>
      <c r="B19">
        <v>22</v>
      </c>
      <c r="C19" t="s">
        <v>22</v>
      </c>
      <c r="D19" t="s">
        <v>23</v>
      </c>
      <c r="E19">
        <v>198305</v>
      </c>
      <c r="F19">
        <v>2</v>
      </c>
      <c r="G19" t="s">
        <v>76</v>
      </c>
      <c r="H19">
        <v>1252060</v>
      </c>
      <c r="I19">
        <v>36</v>
      </c>
      <c r="J19">
        <v>5.54</v>
      </c>
      <c r="K19" t="s">
        <v>44</v>
      </c>
      <c r="L19">
        <v>0</v>
      </c>
      <c r="M19">
        <v>608360.756499746</v>
      </c>
      <c r="N19">
        <v>16898.91</v>
      </c>
      <c r="O19" t="s">
        <v>37</v>
      </c>
      <c r="P19">
        <v>1</v>
      </c>
      <c r="Q19">
        <v>173</v>
      </c>
      <c r="R19" t="s">
        <v>34</v>
      </c>
      <c r="S19">
        <v>0</v>
      </c>
      <c r="T19" t="s">
        <v>28</v>
      </c>
      <c r="U19" t="s">
        <v>29</v>
      </c>
    </row>
    <row r="20" spans="1:21" x14ac:dyDescent="0.25">
      <c r="A20" t="s">
        <v>77</v>
      </c>
      <c r="B20">
        <v>44</v>
      </c>
      <c r="C20" t="s">
        <v>31</v>
      </c>
      <c r="D20" t="s">
        <v>23</v>
      </c>
      <c r="E20">
        <v>59738</v>
      </c>
      <c r="F20">
        <v>3</v>
      </c>
      <c r="G20" t="s">
        <v>78</v>
      </c>
      <c r="H20">
        <v>1192102</v>
      </c>
      <c r="I20">
        <v>72</v>
      </c>
      <c r="J20">
        <v>13.28</v>
      </c>
      <c r="K20" t="s">
        <v>25</v>
      </c>
      <c r="L20">
        <v>795680.09635938297</v>
      </c>
      <c r="M20">
        <v>176912.428353803</v>
      </c>
      <c r="N20">
        <v>2457.12</v>
      </c>
      <c r="O20" t="s">
        <v>26</v>
      </c>
      <c r="P20">
        <v>3</v>
      </c>
      <c r="Q20">
        <v>103</v>
      </c>
      <c r="R20" t="s">
        <v>65</v>
      </c>
      <c r="S20">
        <v>3</v>
      </c>
      <c r="T20" t="s">
        <v>45</v>
      </c>
      <c r="U20" t="s">
        <v>79</v>
      </c>
    </row>
    <row r="21" spans="1:21" x14ac:dyDescent="0.25">
      <c r="A21" t="s">
        <v>80</v>
      </c>
      <c r="B21">
        <v>64</v>
      </c>
      <c r="C21" t="s">
        <v>31</v>
      </c>
      <c r="D21" t="s">
        <v>49</v>
      </c>
      <c r="E21">
        <v>48397</v>
      </c>
      <c r="F21">
        <v>1</v>
      </c>
      <c r="G21" t="s">
        <v>81</v>
      </c>
      <c r="H21">
        <v>1149577</v>
      </c>
      <c r="I21">
        <v>12</v>
      </c>
      <c r="J21">
        <v>12.76</v>
      </c>
      <c r="K21" t="s">
        <v>33</v>
      </c>
      <c r="L21">
        <v>1106575.4021005</v>
      </c>
      <c r="M21">
        <v>137808.14180541501</v>
      </c>
      <c r="N21">
        <v>11484.01</v>
      </c>
      <c r="O21" t="s">
        <v>26</v>
      </c>
      <c r="P21">
        <v>2</v>
      </c>
      <c r="Q21">
        <v>42</v>
      </c>
      <c r="R21" t="s">
        <v>34</v>
      </c>
      <c r="S21">
        <v>2</v>
      </c>
      <c r="T21" t="s">
        <v>45</v>
      </c>
      <c r="U21" t="s">
        <v>29</v>
      </c>
    </row>
    <row r="22" spans="1:21" x14ac:dyDescent="0.25">
      <c r="A22" t="s">
        <v>82</v>
      </c>
      <c r="B22">
        <v>50</v>
      </c>
      <c r="C22" t="s">
        <v>22</v>
      </c>
      <c r="D22" t="s">
        <v>49</v>
      </c>
      <c r="E22">
        <v>97189</v>
      </c>
      <c r="F22">
        <v>2</v>
      </c>
      <c r="G22" t="s">
        <v>83</v>
      </c>
      <c r="H22">
        <v>894081</v>
      </c>
      <c r="I22">
        <v>60</v>
      </c>
      <c r="J22">
        <v>13.49</v>
      </c>
      <c r="K22" t="s">
        <v>44</v>
      </c>
      <c r="L22">
        <v>0</v>
      </c>
      <c r="M22">
        <v>377449.77249214402</v>
      </c>
      <c r="N22">
        <v>6290.83</v>
      </c>
      <c r="O22" t="s">
        <v>37</v>
      </c>
      <c r="P22">
        <v>0</v>
      </c>
      <c r="Q22">
        <v>0</v>
      </c>
      <c r="R22" t="s">
        <v>34</v>
      </c>
      <c r="S22">
        <v>1</v>
      </c>
      <c r="T22" t="s">
        <v>28</v>
      </c>
      <c r="U22" t="s">
        <v>29</v>
      </c>
    </row>
    <row r="23" spans="1:21" x14ac:dyDescent="0.25">
      <c r="A23" t="s">
        <v>84</v>
      </c>
      <c r="B23">
        <v>58</v>
      </c>
      <c r="C23" t="s">
        <v>22</v>
      </c>
      <c r="D23" t="s">
        <v>49</v>
      </c>
      <c r="E23">
        <v>91367</v>
      </c>
      <c r="F23">
        <v>3</v>
      </c>
      <c r="G23" t="s">
        <v>85</v>
      </c>
      <c r="H23">
        <v>242029</v>
      </c>
      <c r="I23">
        <v>36</v>
      </c>
      <c r="J23">
        <v>7.5</v>
      </c>
      <c r="K23" t="s">
        <v>44</v>
      </c>
      <c r="L23">
        <v>0</v>
      </c>
      <c r="M23">
        <v>96882.950529263806</v>
      </c>
      <c r="N23">
        <v>2691.19</v>
      </c>
      <c r="O23" t="s">
        <v>37</v>
      </c>
      <c r="P23">
        <v>1</v>
      </c>
      <c r="Q23">
        <v>119</v>
      </c>
      <c r="R23" t="s">
        <v>65</v>
      </c>
      <c r="S23">
        <v>4</v>
      </c>
      <c r="T23" t="s">
        <v>38</v>
      </c>
      <c r="U23" t="s">
        <v>29</v>
      </c>
    </row>
    <row r="24" spans="1:21" x14ac:dyDescent="0.25">
      <c r="A24" t="s">
        <v>86</v>
      </c>
      <c r="B24">
        <v>22</v>
      </c>
      <c r="C24" t="s">
        <v>22</v>
      </c>
      <c r="D24" t="s">
        <v>23</v>
      </c>
      <c r="E24">
        <v>217332</v>
      </c>
      <c r="F24">
        <v>1</v>
      </c>
      <c r="G24" t="s">
        <v>87</v>
      </c>
      <c r="H24">
        <v>478733</v>
      </c>
      <c r="I24">
        <v>48</v>
      </c>
      <c r="J24">
        <v>8.84</v>
      </c>
      <c r="K24" t="s">
        <v>25</v>
      </c>
      <c r="L24">
        <v>255292.97564182</v>
      </c>
      <c r="M24">
        <v>214915.51810538801</v>
      </c>
      <c r="N24">
        <v>4477.41</v>
      </c>
      <c r="O24" t="s">
        <v>68</v>
      </c>
      <c r="P24">
        <v>11</v>
      </c>
      <c r="Q24">
        <v>32</v>
      </c>
      <c r="R24" t="s">
        <v>34</v>
      </c>
      <c r="S24">
        <v>3</v>
      </c>
      <c r="T24" t="s">
        <v>45</v>
      </c>
      <c r="U24" t="s">
        <v>29</v>
      </c>
    </row>
    <row r="25" spans="1:21" x14ac:dyDescent="0.25">
      <c r="A25" t="s">
        <v>88</v>
      </c>
      <c r="B25">
        <v>41</v>
      </c>
      <c r="C25" t="s">
        <v>22</v>
      </c>
      <c r="D25" t="s">
        <v>49</v>
      </c>
      <c r="E25">
        <v>135585</v>
      </c>
      <c r="F25">
        <v>3</v>
      </c>
      <c r="G25" t="s">
        <v>89</v>
      </c>
      <c r="H25">
        <v>718516</v>
      </c>
      <c r="I25">
        <v>60</v>
      </c>
      <c r="J25">
        <v>13.06</v>
      </c>
      <c r="K25" t="s">
        <v>25</v>
      </c>
      <c r="L25">
        <v>446836.53750875703</v>
      </c>
      <c r="M25">
        <v>161329.38960644099</v>
      </c>
      <c r="N25">
        <v>2688.82</v>
      </c>
      <c r="O25" t="s">
        <v>68</v>
      </c>
      <c r="P25">
        <v>6</v>
      </c>
      <c r="Q25">
        <v>159</v>
      </c>
      <c r="R25" t="s">
        <v>34</v>
      </c>
      <c r="S25">
        <v>3</v>
      </c>
      <c r="T25" t="s">
        <v>38</v>
      </c>
      <c r="U25" t="s">
        <v>29</v>
      </c>
    </row>
    <row r="26" spans="1:21" x14ac:dyDescent="0.25">
      <c r="A26" t="s">
        <v>90</v>
      </c>
      <c r="B26">
        <v>53</v>
      </c>
      <c r="C26" t="s">
        <v>22</v>
      </c>
      <c r="D26" t="s">
        <v>49</v>
      </c>
      <c r="E26">
        <v>91619</v>
      </c>
      <c r="F26">
        <v>3</v>
      </c>
      <c r="G26" t="s">
        <v>91</v>
      </c>
      <c r="H26">
        <v>990568</v>
      </c>
      <c r="I26">
        <v>72</v>
      </c>
      <c r="J26">
        <v>12.8</v>
      </c>
      <c r="K26" t="s">
        <v>44</v>
      </c>
      <c r="L26">
        <v>0</v>
      </c>
      <c r="M26">
        <v>757142.080668226</v>
      </c>
      <c r="N26">
        <v>10515.86</v>
      </c>
      <c r="O26" t="s">
        <v>37</v>
      </c>
      <c r="P26">
        <v>2</v>
      </c>
      <c r="Q26">
        <v>136</v>
      </c>
      <c r="R26" t="s">
        <v>34</v>
      </c>
      <c r="S26">
        <v>0</v>
      </c>
      <c r="T26" t="s">
        <v>38</v>
      </c>
      <c r="U26" t="s">
        <v>29</v>
      </c>
    </row>
    <row r="27" spans="1:21" x14ac:dyDescent="0.25">
      <c r="A27" t="s">
        <v>92</v>
      </c>
      <c r="B27">
        <v>32</v>
      </c>
      <c r="C27" t="s">
        <v>22</v>
      </c>
      <c r="D27" t="s">
        <v>49</v>
      </c>
      <c r="E27">
        <v>126453</v>
      </c>
      <c r="F27">
        <v>0</v>
      </c>
      <c r="G27" t="s">
        <v>93</v>
      </c>
      <c r="H27">
        <v>1648575</v>
      </c>
      <c r="I27">
        <v>36</v>
      </c>
      <c r="J27">
        <v>11.58</v>
      </c>
      <c r="K27" t="s">
        <v>44</v>
      </c>
      <c r="L27">
        <v>0</v>
      </c>
      <c r="M27">
        <v>1436350.59908076</v>
      </c>
      <c r="N27">
        <v>39898.629999999997</v>
      </c>
      <c r="O27" t="s">
        <v>26</v>
      </c>
      <c r="P27">
        <v>2</v>
      </c>
      <c r="Q27">
        <v>6</v>
      </c>
      <c r="R27" t="s">
        <v>27</v>
      </c>
      <c r="S27">
        <v>0</v>
      </c>
      <c r="T27" t="s">
        <v>45</v>
      </c>
      <c r="U27" t="s">
        <v>29</v>
      </c>
    </row>
    <row r="28" spans="1:21" x14ac:dyDescent="0.25">
      <c r="A28" t="s">
        <v>94</v>
      </c>
      <c r="B28">
        <v>42</v>
      </c>
      <c r="C28" t="s">
        <v>22</v>
      </c>
      <c r="D28" t="s">
        <v>58</v>
      </c>
      <c r="E28">
        <v>34816</v>
      </c>
      <c r="F28">
        <v>3</v>
      </c>
      <c r="G28" t="s">
        <v>95</v>
      </c>
      <c r="H28">
        <v>1652970</v>
      </c>
      <c r="I28">
        <v>48</v>
      </c>
      <c r="J28">
        <v>9.56</v>
      </c>
      <c r="K28" t="s">
        <v>44</v>
      </c>
      <c r="L28">
        <v>0</v>
      </c>
      <c r="M28">
        <v>1561797.4177508</v>
      </c>
      <c r="N28">
        <v>32537.45</v>
      </c>
      <c r="O28" t="s">
        <v>26</v>
      </c>
      <c r="P28">
        <v>1</v>
      </c>
      <c r="Q28">
        <v>100</v>
      </c>
      <c r="R28" t="s">
        <v>34</v>
      </c>
      <c r="S28">
        <v>1</v>
      </c>
      <c r="T28" t="s">
        <v>41</v>
      </c>
      <c r="U28" t="s">
        <v>29</v>
      </c>
    </row>
    <row r="29" spans="1:21" x14ac:dyDescent="0.25">
      <c r="A29" t="s">
        <v>96</v>
      </c>
      <c r="B29">
        <v>64</v>
      </c>
      <c r="C29" t="s">
        <v>22</v>
      </c>
      <c r="D29" t="s">
        <v>49</v>
      </c>
      <c r="E29">
        <v>188312</v>
      </c>
      <c r="F29">
        <v>3</v>
      </c>
      <c r="G29" t="s">
        <v>97</v>
      </c>
      <c r="H29">
        <v>1950466</v>
      </c>
      <c r="I29">
        <v>36</v>
      </c>
      <c r="J29">
        <v>16.87</v>
      </c>
      <c r="K29" t="s">
        <v>33</v>
      </c>
      <c r="L29">
        <v>1786356.4032296599</v>
      </c>
      <c r="M29">
        <v>1059348.9394270401</v>
      </c>
      <c r="N29">
        <v>29426.36</v>
      </c>
      <c r="O29" t="s">
        <v>26</v>
      </c>
      <c r="P29">
        <v>1</v>
      </c>
      <c r="Q29">
        <v>151</v>
      </c>
      <c r="R29" t="s">
        <v>34</v>
      </c>
      <c r="S29">
        <v>1</v>
      </c>
      <c r="T29" t="s">
        <v>38</v>
      </c>
      <c r="U29" t="s">
        <v>29</v>
      </c>
    </row>
    <row r="30" spans="1:21" x14ac:dyDescent="0.25">
      <c r="A30" t="s">
        <v>98</v>
      </c>
      <c r="B30">
        <v>45</v>
      </c>
      <c r="C30" t="s">
        <v>31</v>
      </c>
      <c r="D30" t="s">
        <v>23</v>
      </c>
      <c r="E30">
        <v>152348</v>
      </c>
      <c r="F30">
        <v>1</v>
      </c>
      <c r="G30" t="s">
        <v>99</v>
      </c>
      <c r="H30">
        <v>1581064</v>
      </c>
      <c r="I30">
        <v>12</v>
      </c>
      <c r="J30">
        <v>9.42</v>
      </c>
      <c r="K30" t="s">
        <v>25</v>
      </c>
      <c r="L30">
        <v>890344.42677198397</v>
      </c>
      <c r="M30">
        <v>1155408.5731498401</v>
      </c>
      <c r="N30">
        <v>96284.05</v>
      </c>
      <c r="O30" t="s">
        <v>26</v>
      </c>
      <c r="P30">
        <v>2</v>
      </c>
      <c r="Q30">
        <v>144</v>
      </c>
      <c r="R30" t="s">
        <v>34</v>
      </c>
      <c r="S30">
        <v>2</v>
      </c>
      <c r="T30" t="s">
        <v>45</v>
      </c>
      <c r="U30" t="s">
        <v>29</v>
      </c>
    </row>
    <row r="31" spans="1:21" x14ac:dyDescent="0.25">
      <c r="A31" t="s">
        <v>100</v>
      </c>
      <c r="B31">
        <v>47</v>
      </c>
      <c r="C31" t="s">
        <v>31</v>
      </c>
      <c r="D31" t="s">
        <v>49</v>
      </c>
      <c r="E31">
        <v>94530</v>
      </c>
      <c r="F31">
        <v>1</v>
      </c>
      <c r="G31" t="s">
        <v>101</v>
      </c>
      <c r="H31">
        <v>1491149</v>
      </c>
      <c r="I31">
        <v>36</v>
      </c>
      <c r="J31">
        <v>10.92</v>
      </c>
      <c r="K31" t="s">
        <v>33</v>
      </c>
      <c r="L31">
        <v>1337195.4056786101</v>
      </c>
      <c r="M31">
        <v>1297293.6819442499</v>
      </c>
      <c r="N31">
        <v>36035.94</v>
      </c>
      <c r="O31" t="s">
        <v>26</v>
      </c>
      <c r="P31">
        <v>0</v>
      </c>
      <c r="Q31">
        <v>0</v>
      </c>
      <c r="R31" t="s">
        <v>34</v>
      </c>
      <c r="S31">
        <v>0</v>
      </c>
      <c r="T31" t="s">
        <v>38</v>
      </c>
      <c r="U31" t="s">
        <v>29</v>
      </c>
    </row>
    <row r="32" spans="1:21" x14ac:dyDescent="0.25">
      <c r="A32" t="s">
        <v>102</v>
      </c>
      <c r="B32">
        <v>62</v>
      </c>
      <c r="C32" t="s">
        <v>22</v>
      </c>
      <c r="D32" t="s">
        <v>23</v>
      </c>
      <c r="E32">
        <v>169571</v>
      </c>
      <c r="F32">
        <v>0</v>
      </c>
      <c r="G32" t="s">
        <v>103</v>
      </c>
      <c r="H32">
        <v>267583</v>
      </c>
      <c r="I32">
        <v>48</v>
      </c>
      <c r="J32">
        <v>13.82</v>
      </c>
      <c r="K32" t="s">
        <v>64</v>
      </c>
      <c r="L32">
        <v>260627.51866128299</v>
      </c>
      <c r="M32">
        <v>127493.131341755</v>
      </c>
      <c r="N32">
        <v>2656.11</v>
      </c>
      <c r="O32" t="s">
        <v>26</v>
      </c>
      <c r="P32">
        <v>0</v>
      </c>
      <c r="Q32">
        <v>0</v>
      </c>
      <c r="R32" t="s">
        <v>65</v>
      </c>
      <c r="S32">
        <v>8</v>
      </c>
      <c r="T32" t="s">
        <v>28</v>
      </c>
      <c r="U32" t="s">
        <v>79</v>
      </c>
    </row>
    <row r="33" spans="1:21" x14ac:dyDescent="0.25">
      <c r="A33" t="s">
        <v>104</v>
      </c>
      <c r="B33">
        <v>48</v>
      </c>
      <c r="C33" t="s">
        <v>31</v>
      </c>
      <c r="D33" t="s">
        <v>23</v>
      </c>
      <c r="E33">
        <v>234648</v>
      </c>
      <c r="F33">
        <v>3</v>
      </c>
      <c r="G33" t="s">
        <v>105</v>
      </c>
      <c r="H33">
        <v>413898</v>
      </c>
      <c r="I33">
        <v>36</v>
      </c>
      <c r="J33">
        <v>12.06</v>
      </c>
      <c r="K33" t="s">
        <v>25</v>
      </c>
      <c r="L33">
        <v>393727.34903163399</v>
      </c>
      <c r="M33">
        <v>156648.603274158</v>
      </c>
      <c r="N33">
        <v>4351.3500000000004</v>
      </c>
      <c r="O33" t="s">
        <v>26</v>
      </c>
      <c r="P33">
        <v>3</v>
      </c>
      <c r="Q33">
        <v>169</v>
      </c>
      <c r="R33" t="s">
        <v>65</v>
      </c>
      <c r="S33">
        <v>6</v>
      </c>
      <c r="T33" t="s">
        <v>41</v>
      </c>
      <c r="U33" t="s">
        <v>29</v>
      </c>
    </row>
    <row r="34" spans="1:21" x14ac:dyDescent="0.25">
      <c r="A34" t="s">
        <v>106</v>
      </c>
      <c r="B34">
        <v>36</v>
      </c>
      <c r="C34" t="s">
        <v>31</v>
      </c>
      <c r="D34" t="s">
        <v>49</v>
      </c>
      <c r="E34">
        <v>123856</v>
      </c>
      <c r="F34">
        <v>0</v>
      </c>
      <c r="G34" t="s">
        <v>107</v>
      </c>
      <c r="H34">
        <v>188286</v>
      </c>
      <c r="I34">
        <v>60</v>
      </c>
      <c r="J34">
        <v>9.51</v>
      </c>
      <c r="K34" t="s">
        <v>44</v>
      </c>
      <c r="L34">
        <v>0</v>
      </c>
      <c r="M34">
        <v>177563.50775108699</v>
      </c>
      <c r="N34">
        <v>2959.39</v>
      </c>
      <c r="O34" t="s">
        <v>26</v>
      </c>
      <c r="P34">
        <v>0</v>
      </c>
      <c r="Q34">
        <v>0</v>
      </c>
      <c r="R34" t="s">
        <v>27</v>
      </c>
      <c r="S34">
        <v>1</v>
      </c>
      <c r="T34" t="s">
        <v>41</v>
      </c>
      <c r="U34" t="s">
        <v>29</v>
      </c>
    </row>
    <row r="35" spans="1:21" x14ac:dyDescent="0.25">
      <c r="A35" t="s">
        <v>108</v>
      </c>
      <c r="B35">
        <v>35</v>
      </c>
      <c r="C35" t="s">
        <v>22</v>
      </c>
      <c r="D35" t="s">
        <v>23</v>
      </c>
      <c r="E35">
        <v>228567</v>
      </c>
      <c r="F35">
        <v>3</v>
      </c>
      <c r="G35" t="s">
        <v>109</v>
      </c>
      <c r="H35">
        <v>277189</v>
      </c>
      <c r="I35">
        <v>36</v>
      </c>
      <c r="J35">
        <v>10.66</v>
      </c>
      <c r="K35" t="s">
        <v>44</v>
      </c>
      <c r="L35">
        <v>0</v>
      </c>
      <c r="M35">
        <v>156364.780764853</v>
      </c>
      <c r="N35">
        <v>4343.47</v>
      </c>
      <c r="O35" t="s">
        <v>26</v>
      </c>
      <c r="P35">
        <v>2</v>
      </c>
      <c r="Q35">
        <v>6</v>
      </c>
      <c r="R35" t="s">
        <v>27</v>
      </c>
      <c r="S35">
        <v>3</v>
      </c>
      <c r="T35" t="s">
        <v>28</v>
      </c>
      <c r="U35" t="s">
        <v>29</v>
      </c>
    </row>
    <row r="36" spans="1:21" x14ac:dyDescent="0.25">
      <c r="A36" t="s">
        <v>110</v>
      </c>
      <c r="B36">
        <v>64</v>
      </c>
      <c r="C36" t="s">
        <v>22</v>
      </c>
      <c r="D36" t="s">
        <v>49</v>
      </c>
      <c r="E36">
        <v>86635</v>
      </c>
      <c r="F36">
        <v>2</v>
      </c>
      <c r="G36" t="s">
        <v>111</v>
      </c>
      <c r="H36">
        <v>1225055</v>
      </c>
      <c r="I36">
        <v>48</v>
      </c>
      <c r="J36">
        <v>15.33</v>
      </c>
      <c r="K36" t="s">
        <v>44</v>
      </c>
      <c r="L36">
        <v>0</v>
      </c>
      <c r="M36">
        <v>670752.52403382899</v>
      </c>
      <c r="N36">
        <v>13974.01</v>
      </c>
      <c r="O36" t="s">
        <v>26</v>
      </c>
      <c r="P36">
        <v>2</v>
      </c>
      <c r="Q36">
        <v>21</v>
      </c>
      <c r="R36" t="s">
        <v>27</v>
      </c>
      <c r="S36">
        <v>1</v>
      </c>
      <c r="T36" t="s">
        <v>28</v>
      </c>
      <c r="U36" t="s">
        <v>29</v>
      </c>
    </row>
    <row r="37" spans="1:21" x14ac:dyDescent="0.25">
      <c r="A37" t="s">
        <v>112</v>
      </c>
      <c r="B37">
        <v>23</v>
      </c>
      <c r="C37" t="s">
        <v>22</v>
      </c>
      <c r="D37" t="s">
        <v>23</v>
      </c>
      <c r="E37">
        <v>122803</v>
      </c>
      <c r="F37">
        <v>2</v>
      </c>
      <c r="G37" t="s">
        <v>113</v>
      </c>
      <c r="H37">
        <v>1518919</v>
      </c>
      <c r="I37">
        <v>36</v>
      </c>
      <c r="J37">
        <v>8.6199999999999992</v>
      </c>
      <c r="K37" t="s">
        <v>64</v>
      </c>
      <c r="L37">
        <v>2079665.70523184</v>
      </c>
      <c r="M37">
        <v>395791.53907851601</v>
      </c>
      <c r="N37">
        <v>10994.21</v>
      </c>
      <c r="O37" t="s">
        <v>26</v>
      </c>
      <c r="P37">
        <v>2</v>
      </c>
      <c r="Q37">
        <v>164</v>
      </c>
      <c r="R37" t="s">
        <v>34</v>
      </c>
      <c r="S37">
        <v>3</v>
      </c>
      <c r="T37" t="s">
        <v>38</v>
      </c>
      <c r="U37" t="s">
        <v>29</v>
      </c>
    </row>
    <row r="38" spans="1:21" x14ac:dyDescent="0.25">
      <c r="A38" t="s">
        <v>114</v>
      </c>
      <c r="B38">
        <v>57</v>
      </c>
      <c r="C38" t="s">
        <v>22</v>
      </c>
      <c r="D38" t="s">
        <v>49</v>
      </c>
      <c r="E38">
        <v>231184</v>
      </c>
      <c r="F38">
        <v>0</v>
      </c>
      <c r="G38" t="s">
        <v>115</v>
      </c>
      <c r="H38">
        <v>1234789</v>
      </c>
      <c r="I38">
        <v>60</v>
      </c>
      <c r="J38">
        <v>6.85</v>
      </c>
      <c r="K38" t="s">
        <v>25</v>
      </c>
      <c r="L38">
        <v>1271909.7888108699</v>
      </c>
      <c r="M38">
        <v>243672.66006101901</v>
      </c>
      <c r="N38">
        <v>4061.21</v>
      </c>
      <c r="O38" t="s">
        <v>37</v>
      </c>
      <c r="P38">
        <v>0</v>
      </c>
      <c r="Q38">
        <v>0</v>
      </c>
      <c r="R38" t="s">
        <v>27</v>
      </c>
      <c r="S38">
        <v>1</v>
      </c>
      <c r="T38" t="s">
        <v>28</v>
      </c>
      <c r="U38" t="s">
        <v>29</v>
      </c>
    </row>
    <row r="39" spans="1:21" x14ac:dyDescent="0.25">
      <c r="A39" t="s">
        <v>116</v>
      </c>
      <c r="B39">
        <v>27</v>
      </c>
      <c r="C39" t="s">
        <v>31</v>
      </c>
      <c r="D39" t="s">
        <v>23</v>
      </c>
      <c r="E39">
        <v>50946</v>
      </c>
      <c r="F39">
        <v>0</v>
      </c>
      <c r="G39" t="s">
        <v>117</v>
      </c>
      <c r="H39">
        <v>603172</v>
      </c>
      <c r="I39">
        <v>72</v>
      </c>
      <c r="J39">
        <v>9.07</v>
      </c>
      <c r="K39" t="s">
        <v>44</v>
      </c>
      <c r="L39">
        <v>0</v>
      </c>
      <c r="M39">
        <v>517458.95241211401</v>
      </c>
      <c r="N39">
        <v>7186.93</v>
      </c>
      <c r="O39" t="s">
        <v>26</v>
      </c>
      <c r="P39">
        <v>3</v>
      </c>
      <c r="Q39">
        <v>109</v>
      </c>
      <c r="R39" t="s">
        <v>34</v>
      </c>
      <c r="S39">
        <v>1</v>
      </c>
      <c r="T39" t="s">
        <v>41</v>
      </c>
      <c r="U39" t="s">
        <v>29</v>
      </c>
    </row>
    <row r="40" spans="1:21" x14ac:dyDescent="0.25">
      <c r="A40" t="s">
        <v>118</v>
      </c>
      <c r="B40">
        <v>41</v>
      </c>
      <c r="C40" t="s">
        <v>22</v>
      </c>
      <c r="D40" t="s">
        <v>58</v>
      </c>
      <c r="E40">
        <v>70204</v>
      </c>
      <c r="F40">
        <v>0</v>
      </c>
      <c r="G40" t="s">
        <v>119</v>
      </c>
      <c r="H40">
        <v>1363428</v>
      </c>
      <c r="I40">
        <v>48</v>
      </c>
      <c r="J40">
        <v>16.04</v>
      </c>
      <c r="K40" t="s">
        <v>44</v>
      </c>
      <c r="L40">
        <v>0</v>
      </c>
      <c r="M40">
        <v>889936.53132869594</v>
      </c>
      <c r="N40">
        <v>18540.34</v>
      </c>
      <c r="O40" t="s">
        <v>26</v>
      </c>
      <c r="P40">
        <v>0</v>
      </c>
      <c r="Q40">
        <v>0</v>
      </c>
      <c r="R40" t="s">
        <v>34</v>
      </c>
      <c r="S40">
        <v>3</v>
      </c>
      <c r="T40" t="s">
        <v>28</v>
      </c>
      <c r="U40" t="s">
        <v>29</v>
      </c>
    </row>
    <row r="41" spans="1:21" x14ac:dyDescent="0.25">
      <c r="A41" t="s">
        <v>120</v>
      </c>
      <c r="B41">
        <v>29</v>
      </c>
      <c r="C41" t="s">
        <v>22</v>
      </c>
      <c r="D41" t="s">
        <v>49</v>
      </c>
      <c r="E41">
        <v>197958</v>
      </c>
      <c r="F41">
        <v>1</v>
      </c>
      <c r="G41" t="s">
        <v>121</v>
      </c>
      <c r="H41">
        <v>854807</v>
      </c>
      <c r="I41">
        <v>60</v>
      </c>
      <c r="J41">
        <v>6.16</v>
      </c>
      <c r="K41" t="s">
        <v>25</v>
      </c>
      <c r="L41">
        <v>827436.47518946906</v>
      </c>
      <c r="M41">
        <v>336146.12167272199</v>
      </c>
      <c r="N41">
        <v>5602.44</v>
      </c>
      <c r="O41" t="s">
        <v>37</v>
      </c>
      <c r="P41">
        <v>3</v>
      </c>
      <c r="Q41">
        <v>34</v>
      </c>
      <c r="R41" t="s">
        <v>27</v>
      </c>
      <c r="S41">
        <v>4</v>
      </c>
      <c r="T41" t="s">
        <v>45</v>
      </c>
      <c r="U41" t="s">
        <v>29</v>
      </c>
    </row>
    <row r="42" spans="1:21" x14ac:dyDescent="0.25">
      <c r="A42" t="s">
        <v>122</v>
      </c>
      <c r="B42">
        <v>59</v>
      </c>
      <c r="C42" t="s">
        <v>31</v>
      </c>
      <c r="D42" t="s">
        <v>23</v>
      </c>
      <c r="E42">
        <v>217724</v>
      </c>
      <c r="F42">
        <v>1</v>
      </c>
      <c r="G42" t="s">
        <v>123</v>
      </c>
      <c r="H42">
        <v>1637952</v>
      </c>
      <c r="I42">
        <v>36</v>
      </c>
      <c r="J42">
        <v>17.89</v>
      </c>
      <c r="K42" t="s">
        <v>25</v>
      </c>
      <c r="L42">
        <v>1491698.02990777</v>
      </c>
      <c r="M42">
        <v>446444.44867214002</v>
      </c>
      <c r="N42">
        <v>12401.23</v>
      </c>
      <c r="O42" t="s">
        <v>26</v>
      </c>
      <c r="P42">
        <v>0</v>
      </c>
      <c r="Q42">
        <v>0</v>
      </c>
      <c r="R42" t="s">
        <v>34</v>
      </c>
      <c r="S42">
        <v>2</v>
      </c>
      <c r="T42" t="s">
        <v>45</v>
      </c>
      <c r="U42" t="s">
        <v>29</v>
      </c>
    </row>
    <row r="43" spans="1:21" x14ac:dyDescent="0.25">
      <c r="A43" t="s">
        <v>124</v>
      </c>
      <c r="B43">
        <v>38</v>
      </c>
      <c r="C43" t="s">
        <v>31</v>
      </c>
      <c r="D43" t="s">
        <v>23</v>
      </c>
      <c r="E43">
        <v>30563</v>
      </c>
      <c r="F43">
        <v>1</v>
      </c>
      <c r="G43" t="s">
        <v>125</v>
      </c>
      <c r="H43">
        <v>1418335</v>
      </c>
      <c r="I43">
        <v>48</v>
      </c>
      <c r="J43">
        <v>12.03</v>
      </c>
      <c r="K43" t="s">
        <v>44</v>
      </c>
      <c r="L43">
        <v>0</v>
      </c>
      <c r="M43">
        <v>850926.61138245498</v>
      </c>
      <c r="N43">
        <v>17727.64</v>
      </c>
      <c r="O43" t="s">
        <v>26</v>
      </c>
      <c r="P43">
        <v>2</v>
      </c>
      <c r="Q43">
        <v>118</v>
      </c>
      <c r="R43" t="s">
        <v>27</v>
      </c>
      <c r="S43">
        <v>6</v>
      </c>
      <c r="T43" t="s">
        <v>38</v>
      </c>
      <c r="U43" t="s">
        <v>29</v>
      </c>
    </row>
    <row r="44" spans="1:21" x14ac:dyDescent="0.25">
      <c r="A44" t="s">
        <v>126</v>
      </c>
      <c r="B44">
        <v>24</v>
      </c>
      <c r="C44" t="s">
        <v>22</v>
      </c>
      <c r="D44" t="s">
        <v>58</v>
      </c>
      <c r="E44">
        <v>107324</v>
      </c>
      <c r="F44">
        <v>0</v>
      </c>
      <c r="G44" t="s">
        <v>127</v>
      </c>
      <c r="H44">
        <v>1470858</v>
      </c>
      <c r="I44">
        <v>36</v>
      </c>
      <c r="J44">
        <v>17.8</v>
      </c>
      <c r="K44" t="s">
        <v>64</v>
      </c>
      <c r="L44">
        <v>1938036.8869661801</v>
      </c>
      <c r="M44">
        <v>920061.92216764996</v>
      </c>
      <c r="N44">
        <v>25557.279999999999</v>
      </c>
      <c r="O44" t="s">
        <v>26</v>
      </c>
      <c r="P44">
        <v>2</v>
      </c>
      <c r="Q44">
        <v>46</v>
      </c>
      <c r="R44" t="s">
        <v>34</v>
      </c>
      <c r="S44">
        <v>3</v>
      </c>
      <c r="T44" t="s">
        <v>41</v>
      </c>
      <c r="U44" t="s">
        <v>29</v>
      </c>
    </row>
    <row r="45" spans="1:21" x14ac:dyDescent="0.25">
      <c r="A45" t="s">
        <v>128</v>
      </c>
      <c r="B45">
        <v>45</v>
      </c>
      <c r="C45" t="s">
        <v>31</v>
      </c>
      <c r="D45" t="s">
        <v>23</v>
      </c>
      <c r="E45">
        <v>238536</v>
      </c>
      <c r="F45">
        <v>3</v>
      </c>
      <c r="G45" t="s">
        <v>129</v>
      </c>
      <c r="H45">
        <v>1798982</v>
      </c>
      <c r="I45">
        <v>36</v>
      </c>
      <c r="J45">
        <v>17.21</v>
      </c>
      <c r="K45" t="s">
        <v>25</v>
      </c>
      <c r="L45">
        <v>2509681.71957683</v>
      </c>
      <c r="M45">
        <v>515038.18647953402</v>
      </c>
      <c r="N45">
        <v>14306.62</v>
      </c>
      <c r="O45" t="s">
        <v>26</v>
      </c>
      <c r="P45">
        <v>1</v>
      </c>
      <c r="Q45">
        <v>12</v>
      </c>
      <c r="R45" t="s">
        <v>27</v>
      </c>
      <c r="S45">
        <v>7</v>
      </c>
      <c r="T45" t="s">
        <v>45</v>
      </c>
      <c r="U45" t="s">
        <v>29</v>
      </c>
    </row>
    <row r="46" spans="1:21" x14ac:dyDescent="0.25">
      <c r="A46" t="s">
        <v>130</v>
      </c>
      <c r="B46">
        <v>34</v>
      </c>
      <c r="C46" t="s">
        <v>31</v>
      </c>
      <c r="D46" t="s">
        <v>23</v>
      </c>
      <c r="E46">
        <v>247944</v>
      </c>
      <c r="F46">
        <v>2</v>
      </c>
      <c r="G46" t="s">
        <v>131</v>
      </c>
      <c r="H46">
        <v>322158</v>
      </c>
      <c r="I46">
        <v>60</v>
      </c>
      <c r="J46">
        <v>10.89</v>
      </c>
      <c r="K46" t="s">
        <v>44</v>
      </c>
      <c r="L46">
        <v>0</v>
      </c>
      <c r="M46">
        <v>279074.25563629903</v>
      </c>
      <c r="N46">
        <v>4651.24</v>
      </c>
      <c r="O46" t="s">
        <v>68</v>
      </c>
      <c r="P46">
        <v>11</v>
      </c>
      <c r="Q46">
        <v>66</v>
      </c>
      <c r="R46" t="s">
        <v>34</v>
      </c>
      <c r="S46">
        <v>1</v>
      </c>
      <c r="T46" t="s">
        <v>28</v>
      </c>
      <c r="U46" t="s">
        <v>29</v>
      </c>
    </row>
    <row r="47" spans="1:21" x14ac:dyDescent="0.25">
      <c r="A47" t="s">
        <v>132</v>
      </c>
      <c r="B47">
        <v>29</v>
      </c>
      <c r="C47" t="s">
        <v>31</v>
      </c>
      <c r="D47" t="s">
        <v>23</v>
      </c>
      <c r="E47">
        <v>24847</v>
      </c>
      <c r="F47">
        <v>0</v>
      </c>
      <c r="G47" t="s">
        <v>133</v>
      </c>
      <c r="H47">
        <v>1818361</v>
      </c>
      <c r="I47">
        <v>72</v>
      </c>
      <c r="J47">
        <v>7.58</v>
      </c>
      <c r="K47" t="s">
        <v>33</v>
      </c>
      <c r="L47">
        <v>2460683.3295317399</v>
      </c>
      <c r="M47">
        <v>319736.83339676802</v>
      </c>
      <c r="N47">
        <v>4440.79</v>
      </c>
      <c r="O47" t="s">
        <v>26</v>
      </c>
      <c r="P47">
        <v>0</v>
      </c>
      <c r="Q47">
        <v>0</v>
      </c>
      <c r="R47" t="s">
        <v>27</v>
      </c>
      <c r="S47">
        <v>7</v>
      </c>
      <c r="T47" t="s">
        <v>45</v>
      </c>
      <c r="U47" t="s">
        <v>29</v>
      </c>
    </row>
    <row r="48" spans="1:21" x14ac:dyDescent="0.25">
      <c r="A48" t="s">
        <v>134</v>
      </c>
      <c r="B48">
        <v>46</v>
      </c>
      <c r="C48" t="s">
        <v>22</v>
      </c>
      <c r="D48" t="s">
        <v>23</v>
      </c>
      <c r="E48">
        <v>41155</v>
      </c>
      <c r="F48">
        <v>1</v>
      </c>
      <c r="G48" t="s">
        <v>135</v>
      </c>
      <c r="H48">
        <v>1495065</v>
      </c>
      <c r="I48">
        <v>24</v>
      </c>
      <c r="J48">
        <v>7.14</v>
      </c>
      <c r="K48" t="s">
        <v>44</v>
      </c>
      <c r="L48">
        <v>0</v>
      </c>
      <c r="M48">
        <v>628650.57753690297</v>
      </c>
      <c r="N48">
        <v>26193.77</v>
      </c>
      <c r="O48" t="s">
        <v>37</v>
      </c>
      <c r="P48">
        <v>0</v>
      </c>
      <c r="Q48">
        <v>0</v>
      </c>
      <c r="R48" t="s">
        <v>27</v>
      </c>
      <c r="S48">
        <v>8</v>
      </c>
      <c r="T48" t="s">
        <v>45</v>
      </c>
      <c r="U48" t="s">
        <v>29</v>
      </c>
    </row>
    <row r="49" spans="1:21" x14ac:dyDescent="0.25">
      <c r="A49" t="s">
        <v>136</v>
      </c>
      <c r="B49">
        <v>22</v>
      </c>
      <c r="C49" t="s">
        <v>31</v>
      </c>
      <c r="D49" t="s">
        <v>49</v>
      </c>
      <c r="E49">
        <v>94671</v>
      </c>
      <c r="F49">
        <v>1</v>
      </c>
      <c r="G49" t="s">
        <v>137</v>
      </c>
      <c r="H49">
        <v>752495</v>
      </c>
      <c r="I49">
        <v>48</v>
      </c>
      <c r="J49">
        <v>8.1199999999999992</v>
      </c>
      <c r="K49" t="s">
        <v>64</v>
      </c>
      <c r="L49">
        <v>883087.93231098098</v>
      </c>
      <c r="M49">
        <v>536036.78249080596</v>
      </c>
      <c r="N49">
        <v>11167.43</v>
      </c>
      <c r="O49" t="s">
        <v>26</v>
      </c>
      <c r="P49">
        <v>1</v>
      </c>
      <c r="Q49">
        <v>97</v>
      </c>
      <c r="R49" t="s">
        <v>34</v>
      </c>
      <c r="S49">
        <v>1</v>
      </c>
      <c r="T49" t="s">
        <v>38</v>
      </c>
      <c r="U49" t="s">
        <v>29</v>
      </c>
    </row>
    <row r="50" spans="1:21" x14ac:dyDescent="0.25">
      <c r="A50" t="s">
        <v>138</v>
      </c>
      <c r="B50">
        <v>40</v>
      </c>
      <c r="C50" t="s">
        <v>22</v>
      </c>
      <c r="D50" t="s">
        <v>49</v>
      </c>
      <c r="E50">
        <v>131891</v>
      </c>
      <c r="F50">
        <v>0</v>
      </c>
      <c r="G50" t="s">
        <v>139</v>
      </c>
      <c r="H50">
        <v>1463562</v>
      </c>
      <c r="I50">
        <v>48</v>
      </c>
      <c r="J50">
        <v>14.23</v>
      </c>
      <c r="K50" t="s">
        <v>64</v>
      </c>
      <c r="L50">
        <v>932818.43165340496</v>
      </c>
      <c r="M50">
        <v>507429.13312076102</v>
      </c>
      <c r="N50">
        <v>10571.44</v>
      </c>
      <c r="O50" t="s">
        <v>26</v>
      </c>
      <c r="P50">
        <v>2</v>
      </c>
      <c r="Q50">
        <v>83</v>
      </c>
      <c r="R50" t="s">
        <v>34</v>
      </c>
      <c r="S50">
        <v>3</v>
      </c>
      <c r="T50" t="s">
        <v>28</v>
      </c>
      <c r="U50" t="s">
        <v>29</v>
      </c>
    </row>
    <row r="51" spans="1:21" x14ac:dyDescent="0.25">
      <c r="A51" t="s">
        <v>140</v>
      </c>
      <c r="B51">
        <v>48</v>
      </c>
      <c r="C51" t="s">
        <v>31</v>
      </c>
      <c r="D51" t="s">
        <v>23</v>
      </c>
      <c r="E51">
        <v>98310</v>
      </c>
      <c r="F51">
        <v>0</v>
      </c>
      <c r="G51" t="s">
        <v>141</v>
      </c>
      <c r="H51">
        <v>1588814</v>
      </c>
      <c r="I51">
        <v>24</v>
      </c>
      <c r="J51">
        <v>8.5500000000000007</v>
      </c>
      <c r="K51" t="s">
        <v>33</v>
      </c>
      <c r="L51">
        <v>1234301.88370848</v>
      </c>
      <c r="M51">
        <v>1342401.1432290899</v>
      </c>
      <c r="N51">
        <v>55933.38</v>
      </c>
      <c r="O51" t="s">
        <v>26</v>
      </c>
      <c r="P51">
        <v>0</v>
      </c>
      <c r="Q51">
        <v>0</v>
      </c>
      <c r="R51" t="s">
        <v>34</v>
      </c>
      <c r="S51">
        <v>1</v>
      </c>
      <c r="T51" t="s">
        <v>28</v>
      </c>
      <c r="U51" t="s">
        <v>29</v>
      </c>
    </row>
    <row r="52" spans="1:21" x14ac:dyDescent="0.25">
      <c r="A52" t="s">
        <v>142</v>
      </c>
      <c r="B52">
        <v>27</v>
      </c>
      <c r="C52" t="s">
        <v>31</v>
      </c>
      <c r="D52" t="s">
        <v>23</v>
      </c>
      <c r="E52">
        <v>213350</v>
      </c>
      <c r="F52">
        <v>1</v>
      </c>
      <c r="G52" t="s">
        <v>143</v>
      </c>
      <c r="H52">
        <v>128077</v>
      </c>
      <c r="I52">
        <v>24</v>
      </c>
      <c r="J52">
        <v>9.44</v>
      </c>
      <c r="K52" t="s">
        <v>33</v>
      </c>
      <c r="L52">
        <v>69938.119007196598</v>
      </c>
      <c r="M52">
        <v>98091.7464647499</v>
      </c>
      <c r="N52">
        <v>4087.16</v>
      </c>
      <c r="O52" t="s">
        <v>26</v>
      </c>
      <c r="P52">
        <v>1</v>
      </c>
      <c r="Q52">
        <v>54</v>
      </c>
      <c r="R52" t="s">
        <v>34</v>
      </c>
      <c r="S52">
        <v>1</v>
      </c>
      <c r="T52" t="s">
        <v>28</v>
      </c>
      <c r="U52" t="s">
        <v>29</v>
      </c>
    </row>
    <row r="53" spans="1:21" x14ac:dyDescent="0.25">
      <c r="A53" t="s">
        <v>144</v>
      </c>
      <c r="B53">
        <v>64</v>
      </c>
      <c r="C53" t="s">
        <v>31</v>
      </c>
      <c r="D53" t="s">
        <v>49</v>
      </c>
      <c r="E53">
        <v>164381</v>
      </c>
      <c r="F53">
        <v>3</v>
      </c>
      <c r="G53" t="s">
        <v>145</v>
      </c>
      <c r="H53">
        <v>1238360</v>
      </c>
      <c r="I53">
        <v>36</v>
      </c>
      <c r="J53">
        <v>10.83</v>
      </c>
      <c r="K53" t="s">
        <v>44</v>
      </c>
      <c r="L53">
        <v>0</v>
      </c>
      <c r="M53">
        <v>1003220.89679716</v>
      </c>
      <c r="N53">
        <v>27867.25</v>
      </c>
      <c r="O53" t="s">
        <v>26</v>
      </c>
      <c r="P53">
        <v>0</v>
      </c>
      <c r="Q53">
        <v>0</v>
      </c>
      <c r="R53" t="s">
        <v>27</v>
      </c>
      <c r="S53">
        <v>1</v>
      </c>
      <c r="T53" t="s">
        <v>38</v>
      </c>
      <c r="U53" t="s">
        <v>29</v>
      </c>
    </row>
    <row r="54" spans="1:21" x14ac:dyDescent="0.25">
      <c r="A54" t="s">
        <v>146</v>
      </c>
      <c r="B54">
        <v>28</v>
      </c>
      <c r="C54" t="s">
        <v>31</v>
      </c>
      <c r="D54" t="s">
        <v>23</v>
      </c>
      <c r="E54">
        <v>146691</v>
      </c>
      <c r="F54">
        <v>1</v>
      </c>
      <c r="G54" t="s">
        <v>147</v>
      </c>
      <c r="H54">
        <v>1304352</v>
      </c>
      <c r="I54">
        <v>24</v>
      </c>
      <c r="J54">
        <v>16.87</v>
      </c>
      <c r="K54" t="s">
        <v>64</v>
      </c>
      <c r="L54">
        <v>1866298.24386151</v>
      </c>
      <c r="M54">
        <v>270256.36345548002</v>
      </c>
      <c r="N54">
        <v>11260.68</v>
      </c>
      <c r="O54" t="s">
        <v>26</v>
      </c>
      <c r="P54">
        <v>3</v>
      </c>
      <c r="Q54">
        <v>116</v>
      </c>
      <c r="R54" t="s">
        <v>65</v>
      </c>
      <c r="S54">
        <v>4</v>
      </c>
      <c r="T54" t="s">
        <v>28</v>
      </c>
      <c r="U54" t="s">
        <v>79</v>
      </c>
    </row>
    <row r="55" spans="1:21" x14ac:dyDescent="0.25">
      <c r="A55" t="s">
        <v>148</v>
      </c>
      <c r="B55">
        <v>55</v>
      </c>
      <c r="C55" t="s">
        <v>31</v>
      </c>
      <c r="D55" t="s">
        <v>23</v>
      </c>
      <c r="E55">
        <v>229266</v>
      </c>
      <c r="F55">
        <v>1</v>
      </c>
      <c r="G55" t="s">
        <v>149</v>
      </c>
      <c r="H55">
        <v>365018</v>
      </c>
      <c r="I55">
        <v>24</v>
      </c>
      <c r="J55">
        <v>7.46</v>
      </c>
      <c r="K55" t="s">
        <v>25</v>
      </c>
      <c r="L55">
        <v>423712.35771071701</v>
      </c>
      <c r="M55">
        <v>82673.808410009398</v>
      </c>
      <c r="N55">
        <v>3444.74</v>
      </c>
      <c r="O55" t="s">
        <v>26</v>
      </c>
      <c r="P55">
        <v>2</v>
      </c>
      <c r="Q55">
        <v>83</v>
      </c>
      <c r="R55" t="s">
        <v>34</v>
      </c>
      <c r="S55">
        <v>3</v>
      </c>
      <c r="T55" t="s">
        <v>28</v>
      </c>
      <c r="U55" t="s">
        <v>29</v>
      </c>
    </row>
    <row r="56" spans="1:21" x14ac:dyDescent="0.25">
      <c r="A56" t="s">
        <v>150</v>
      </c>
      <c r="B56">
        <v>34</v>
      </c>
      <c r="C56" t="s">
        <v>31</v>
      </c>
      <c r="D56" t="s">
        <v>58</v>
      </c>
      <c r="E56">
        <v>196180</v>
      </c>
      <c r="F56">
        <v>0</v>
      </c>
      <c r="G56" t="s">
        <v>151</v>
      </c>
      <c r="H56">
        <v>119087</v>
      </c>
      <c r="I56">
        <v>36</v>
      </c>
      <c r="J56">
        <v>5.07</v>
      </c>
      <c r="K56" t="s">
        <v>33</v>
      </c>
      <c r="L56">
        <v>148425.61680421099</v>
      </c>
      <c r="M56">
        <v>42612.468206110301</v>
      </c>
      <c r="N56">
        <v>1183.68</v>
      </c>
      <c r="O56" t="s">
        <v>37</v>
      </c>
      <c r="P56">
        <v>3</v>
      </c>
      <c r="Q56">
        <v>86</v>
      </c>
      <c r="R56" t="s">
        <v>27</v>
      </c>
      <c r="S56">
        <v>5</v>
      </c>
      <c r="T56" t="s">
        <v>45</v>
      </c>
      <c r="U56" t="s">
        <v>29</v>
      </c>
    </row>
    <row r="57" spans="1:21" x14ac:dyDescent="0.25">
      <c r="A57" t="s">
        <v>152</v>
      </c>
      <c r="B57">
        <v>37</v>
      </c>
      <c r="C57" t="s">
        <v>22</v>
      </c>
      <c r="D57" t="s">
        <v>49</v>
      </c>
      <c r="E57">
        <v>49707</v>
      </c>
      <c r="F57">
        <v>3</v>
      </c>
      <c r="G57" t="s">
        <v>153</v>
      </c>
      <c r="H57">
        <v>1897305</v>
      </c>
      <c r="I57">
        <v>36</v>
      </c>
      <c r="J57">
        <v>5.78</v>
      </c>
      <c r="K57" t="s">
        <v>64</v>
      </c>
      <c r="L57">
        <v>1539799.11936806</v>
      </c>
      <c r="M57">
        <v>1074385.8563236401</v>
      </c>
      <c r="N57">
        <v>29844.05</v>
      </c>
      <c r="O57" t="s">
        <v>26</v>
      </c>
      <c r="P57">
        <v>2</v>
      </c>
      <c r="Q57">
        <v>97</v>
      </c>
      <c r="R57" t="s">
        <v>27</v>
      </c>
      <c r="S57">
        <v>8</v>
      </c>
      <c r="T57" t="s">
        <v>45</v>
      </c>
      <c r="U57" t="s">
        <v>29</v>
      </c>
    </row>
    <row r="58" spans="1:21" x14ac:dyDescent="0.25">
      <c r="A58" t="s">
        <v>154</v>
      </c>
      <c r="B58">
        <v>56</v>
      </c>
      <c r="C58" t="s">
        <v>22</v>
      </c>
      <c r="D58" t="s">
        <v>49</v>
      </c>
      <c r="E58">
        <v>166409</v>
      </c>
      <c r="F58">
        <v>1</v>
      </c>
      <c r="G58" t="s">
        <v>155</v>
      </c>
      <c r="H58">
        <v>1863205</v>
      </c>
      <c r="I58">
        <v>60</v>
      </c>
      <c r="J58">
        <v>16.760000000000002</v>
      </c>
      <c r="K58" t="s">
        <v>64</v>
      </c>
      <c r="L58">
        <v>2507228.37097476</v>
      </c>
      <c r="M58">
        <v>1440657.0647680401</v>
      </c>
      <c r="N58">
        <v>24010.95</v>
      </c>
      <c r="O58" t="s">
        <v>37</v>
      </c>
      <c r="P58">
        <v>1</v>
      </c>
      <c r="Q58">
        <v>71</v>
      </c>
      <c r="R58" t="s">
        <v>34</v>
      </c>
      <c r="S58">
        <v>2</v>
      </c>
      <c r="T58" t="s">
        <v>28</v>
      </c>
      <c r="U58" t="s">
        <v>29</v>
      </c>
    </row>
    <row r="59" spans="1:21" x14ac:dyDescent="0.25">
      <c r="A59" t="s">
        <v>156</v>
      </c>
      <c r="B59">
        <v>60</v>
      </c>
      <c r="C59" t="s">
        <v>22</v>
      </c>
      <c r="D59" t="s">
        <v>49</v>
      </c>
      <c r="E59">
        <v>96537</v>
      </c>
      <c r="F59">
        <v>1</v>
      </c>
      <c r="G59" t="s">
        <v>157</v>
      </c>
      <c r="H59">
        <v>863560</v>
      </c>
      <c r="I59">
        <v>48</v>
      </c>
      <c r="J59">
        <v>13.42</v>
      </c>
      <c r="K59" t="s">
        <v>33</v>
      </c>
      <c r="L59">
        <v>655963.01167929405</v>
      </c>
      <c r="M59">
        <v>736511.15442293696</v>
      </c>
      <c r="N59">
        <v>15343.98</v>
      </c>
      <c r="O59" t="s">
        <v>37</v>
      </c>
      <c r="P59">
        <v>2</v>
      </c>
      <c r="Q59">
        <v>107</v>
      </c>
      <c r="R59" t="s">
        <v>27</v>
      </c>
      <c r="S59">
        <v>0</v>
      </c>
      <c r="T59" t="s">
        <v>41</v>
      </c>
      <c r="U59" t="s">
        <v>29</v>
      </c>
    </row>
    <row r="60" spans="1:21" x14ac:dyDescent="0.25">
      <c r="A60" t="s">
        <v>158</v>
      </c>
      <c r="B60">
        <v>24</v>
      </c>
      <c r="C60" t="s">
        <v>31</v>
      </c>
      <c r="D60" t="s">
        <v>23</v>
      </c>
      <c r="E60">
        <v>212576</v>
      </c>
      <c r="F60">
        <v>2</v>
      </c>
      <c r="G60" t="s">
        <v>159</v>
      </c>
      <c r="H60">
        <v>1691232</v>
      </c>
      <c r="I60">
        <v>72</v>
      </c>
      <c r="J60">
        <v>8.5500000000000007</v>
      </c>
      <c r="K60" t="s">
        <v>44</v>
      </c>
      <c r="L60">
        <v>0</v>
      </c>
      <c r="M60">
        <v>1241198.1825691999</v>
      </c>
      <c r="N60">
        <v>17238.86</v>
      </c>
      <c r="O60" t="s">
        <v>26</v>
      </c>
      <c r="P60">
        <v>2</v>
      </c>
      <c r="Q60">
        <v>64</v>
      </c>
      <c r="R60" t="s">
        <v>27</v>
      </c>
      <c r="S60">
        <v>4</v>
      </c>
      <c r="T60" t="s">
        <v>41</v>
      </c>
      <c r="U60" t="s">
        <v>29</v>
      </c>
    </row>
    <row r="61" spans="1:21" x14ac:dyDescent="0.25">
      <c r="A61" t="s">
        <v>160</v>
      </c>
      <c r="B61">
        <v>22</v>
      </c>
      <c r="C61" t="s">
        <v>22</v>
      </c>
      <c r="D61" t="s">
        <v>49</v>
      </c>
      <c r="E61">
        <v>193686</v>
      </c>
      <c r="F61">
        <v>0</v>
      </c>
      <c r="G61" t="s">
        <v>161</v>
      </c>
      <c r="H61">
        <v>793859</v>
      </c>
      <c r="I61">
        <v>36</v>
      </c>
      <c r="J61">
        <v>7.3</v>
      </c>
      <c r="K61" t="s">
        <v>64</v>
      </c>
      <c r="L61">
        <v>398234.411377532</v>
      </c>
      <c r="M61">
        <v>742843.39259752806</v>
      </c>
      <c r="N61">
        <v>20634.54</v>
      </c>
      <c r="O61" t="s">
        <v>26</v>
      </c>
      <c r="P61">
        <v>1</v>
      </c>
      <c r="Q61">
        <v>20</v>
      </c>
      <c r="R61" t="s">
        <v>34</v>
      </c>
      <c r="S61">
        <v>2</v>
      </c>
      <c r="T61" t="s">
        <v>28</v>
      </c>
      <c r="U61" t="s">
        <v>29</v>
      </c>
    </row>
    <row r="62" spans="1:21" x14ac:dyDescent="0.25">
      <c r="A62" t="s">
        <v>162</v>
      </c>
      <c r="B62">
        <v>26</v>
      </c>
      <c r="C62" t="s">
        <v>22</v>
      </c>
      <c r="D62" t="s">
        <v>23</v>
      </c>
      <c r="E62">
        <v>237500</v>
      </c>
      <c r="F62">
        <v>2</v>
      </c>
      <c r="G62" t="s">
        <v>163</v>
      </c>
      <c r="H62">
        <v>1439678</v>
      </c>
      <c r="I62">
        <v>60</v>
      </c>
      <c r="J62">
        <v>8.83</v>
      </c>
      <c r="K62" t="s">
        <v>25</v>
      </c>
      <c r="L62">
        <v>1261755.34041187</v>
      </c>
      <c r="M62">
        <v>1101165.3005931601</v>
      </c>
      <c r="N62">
        <v>18352.759999999998</v>
      </c>
      <c r="O62" t="s">
        <v>26</v>
      </c>
      <c r="P62">
        <v>2</v>
      </c>
      <c r="Q62">
        <v>120</v>
      </c>
      <c r="R62" t="s">
        <v>34</v>
      </c>
      <c r="S62">
        <v>3</v>
      </c>
      <c r="T62" t="s">
        <v>41</v>
      </c>
      <c r="U62" t="s">
        <v>29</v>
      </c>
    </row>
    <row r="63" spans="1:21" x14ac:dyDescent="0.25">
      <c r="A63" t="s">
        <v>164</v>
      </c>
      <c r="B63">
        <v>62</v>
      </c>
      <c r="C63" t="s">
        <v>22</v>
      </c>
      <c r="D63" t="s">
        <v>23</v>
      </c>
      <c r="E63">
        <v>106155</v>
      </c>
      <c r="F63">
        <v>2</v>
      </c>
      <c r="G63" t="s">
        <v>165</v>
      </c>
      <c r="H63">
        <v>345064</v>
      </c>
      <c r="I63">
        <v>72</v>
      </c>
      <c r="J63">
        <v>6.49</v>
      </c>
      <c r="K63" t="s">
        <v>64</v>
      </c>
      <c r="L63">
        <v>369481.239665662</v>
      </c>
      <c r="M63">
        <v>129620.219945224</v>
      </c>
      <c r="N63">
        <v>1800.28</v>
      </c>
      <c r="O63" t="s">
        <v>37</v>
      </c>
      <c r="P63">
        <v>0</v>
      </c>
      <c r="Q63">
        <v>0</v>
      </c>
      <c r="R63" t="s">
        <v>34</v>
      </c>
      <c r="S63">
        <v>1</v>
      </c>
      <c r="T63" t="s">
        <v>38</v>
      </c>
      <c r="U63" t="s">
        <v>29</v>
      </c>
    </row>
    <row r="64" spans="1:21" x14ac:dyDescent="0.25">
      <c r="A64" t="s">
        <v>166</v>
      </c>
      <c r="B64">
        <v>24</v>
      </c>
      <c r="C64" t="s">
        <v>22</v>
      </c>
      <c r="D64" t="s">
        <v>23</v>
      </c>
      <c r="E64">
        <v>15281</v>
      </c>
      <c r="F64">
        <v>1</v>
      </c>
      <c r="G64" t="s">
        <v>167</v>
      </c>
      <c r="H64">
        <v>301514</v>
      </c>
      <c r="I64">
        <v>60</v>
      </c>
      <c r="J64">
        <v>17.239999999999998</v>
      </c>
      <c r="K64" t="s">
        <v>25</v>
      </c>
      <c r="L64">
        <v>295093.21654461703</v>
      </c>
      <c r="M64">
        <v>102084.546529454</v>
      </c>
      <c r="N64">
        <v>1701.41</v>
      </c>
      <c r="O64" t="s">
        <v>26</v>
      </c>
      <c r="P64">
        <v>1</v>
      </c>
      <c r="Q64">
        <v>4</v>
      </c>
      <c r="R64" t="s">
        <v>65</v>
      </c>
      <c r="S64">
        <v>7</v>
      </c>
      <c r="T64" t="s">
        <v>45</v>
      </c>
      <c r="U64" t="s">
        <v>29</v>
      </c>
    </row>
    <row r="65" spans="1:21" x14ac:dyDescent="0.25">
      <c r="A65" t="s">
        <v>168</v>
      </c>
      <c r="B65">
        <v>49</v>
      </c>
      <c r="C65" t="s">
        <v>31</v>
      </c>
      <c r="D65" t="s">
        <v>23</v>
      </c>
      <c r="E65">
        <v>173492</v>
      </c>
      <c r="F65">
        <v>0</v>
      </c>
      <c r="G65" t="s">
        <v>169</v>
      </c>
      <c r="H65">
        <v>978660</v>
      </c>
      <c r="I65">
        <v>36</v>
      </c>
      <c r="J65">
        <v>15.19</v>
      </c>
      <c r="K65" t="s">
        <v>44</v>
      </c>
      <c r="L65">
        <v>0</v>
      </c>
      <c r="M65">
        <v>711068.13307049801</v>
      </c>
      <c r="N65">
        <v>19751.89</v>
      </c>
      <c r="O65" t="s">
        <v>37</v>
      </c>
      <c r="P65">
        <v>1</v>
      </c>
      <c r="Q65">
        <v>138</v>
      </c>
      <c r="R65" t="s">
        <v>65</v>
      </c>
      <c r="S65">
        <v>8</v>
      </c>
      <c r="T65" t="s">
        <v>38</v>
      </c>
      <c r="U65" t="s">
        <v>29</v>
      </c>
    </row>
    <row r="66" spans="1:21" x14ac:dyDescent="0.25">
      <c r="A66" t="s">
        <v>170</v>
      </c>
      <c r="B66">
        <v>38</v>
      </c>
      <c r="C66" t="s">
        <v>31</v>
      </c>
      <c r="D66" t="s">
        <v>49</v>
      </c>
      <c r="E66">
        <v>226968</v>
      </c>
      <c r="F66">
        <v>3</v>
      </c>
      <c r="G66" t="s">
        <v>171</v>
      </c>
      <c r="H66">
        <v>192180</v>
      </c>
      <c r="I66">
        <v>60</v>
      </c>
      <c r="J66">
        <v>11.01</v>
      </c>
      <c r="K66" t="s">
        <v>44</v>
      </c>
      <c r="L66">
        <v>0</v>
      </c>
      <c r="M66">
        <v>52577.279301693103</v>
      </c>
      <c r="N66">
        <v>876.29</v>
      </c>
      <c r="O66" t="s">
        <v>26</v>
      </c>
      <c r="P66">
        <v>1</v>
      </c>
      <c r="Q66">
        <v>13</v>
      </c>
      <c r="R66" t="s">
        <v>27</v>
      </c>
      <c r="S66">
        <v>7</v>
      </c>
      <c r="T66" t="s">
        <v>45</v>
      </c>
      <c r="U66" t="s">
        <v>29</v>
      </c>
    </row>
    <row r="67" spans="1:21" x14ac:dyDescent="0.25">
      <c r="A67" t="s">
        <v>172</v>
      </c>
      <c r="B67">
        <v>46</v>
      </c>
      <c r="C67" t="s">
        <v>22</v>
      </c>
      <c r="D67" t="s">
        <v>23</v>
      </c>
      <c r="E67">
        <v>185102</v>
      </c>
      <c r="F67">
        <v>1</v>
      </c>
      <c r="G67" t="s">
        <v>173</v>
      </c>
      <c r="H67">
        <v>834192</v>
      </c>
      <c r="I67">
        <v>24</v>
      </c>
      <c r="J67">
        <v>16.239999999999998</v>
      </c>
      <c r="K67" t="s">
        <v>25</v>
      </c>
      <c r="L67">
        <v>1136233.0215282601</v>
      </c>
      <c r="M67">
        <v>153026.95811349701</v>
      </c>
      <c r="N67">
        <v>6376.12</v>
      </c>
      <c r="O67" t="s">
        <v>37</v>
      </c>
      <c r="P67">
        <v>3</v>
      </c>
      <c r="Q67">
        <v>89</v>
      </c>
      <c r="R67" t="s">
        <v>34</v>
      </c>
      <c r="S67">
        <v>2</v>
      </c>
      <c r="T67" t="s">
        <v>41</v>
      </c>
      <c r="U67" t="s">
        <v>29</v>
      </c>
    </row>
    <row r="68" spans="1:21" x14ac:dyDescent="0.25">
      <c r="A68" t="s">
        <v>174</v>
      </c>
      <c r="B68">
        <v>64</v>
      </c>
      <c r="C68" t="s">
        <v>31</v>
      </c>
      <c r="D68" t="s">
        <v>23</v>
      </c>
      <c r="E68">
        <v>147130</v>
      </c>
      <c r="F68">
        <v>3</v>
      </c>
      <c r="G68" t="s">
        <v>175</v>
      </c>
      <c r="H68">
        <v>485928</v>
      </c>
      <c r="I68">
        <v>36</v>
      </c>
      <c r="J68">
        <v>8.24</v>
      </c>
      <c r="K68" t="s">
        <v>33</v>
      </c>
      <c r="L68">
        <v>294183.37979410798</v>
      </c>
      <c r="M68">
        <v>281352.59741980903</v>
      </c>
      <c r="N68">
        <v>7815.35</v>
      </c>
      <c r="O68" t="s">
        <v>26</v>
      </c>
      <c r="P68">
        <v>3</v>
      </c>
      <c r="Q68">
        <v>57</v>
      </c>
      <c r="R68" t="s">
        <v>34</v>
      </c>
      <c r="S68">
        <v>2</v>
      </c>
      <c r="T68" t="s">
        <v>41</v>
      </c>
      <c r="U68" t="s">
        <v>29</v>
      </c>
    </row>
    <row r="69" spans="1:21" x14ac:dyDescent="0.25">
      <c r="A69" t="s">
        <v>176</v>
      </c>
      <c r="B69">
        <v>54</v>
      </c>
      <c r="C69" t="s">
        <v>22</v>
      </c>
      <c r="D69" t="s">
        <v>23</v>
      </c>
      <c r="E69">
        <v>232285</v>
      </c>
      <c r="F69">
        <v>3</v>
      </c>
      <c r="G69" t="s">
        <v>177</v>
      </c>
      <c r="H69">
        <v>970114</v>
      </c>
      <c r="I69">
        <v>48</v>
      </c>
      <c r="J69">
        <v>14.32</v>
      </c>
      <c r="K69" t="s">
        <v>44</v>
      </c>
      <c r="L69">
        <v>0</v>
      </c>
      <c r="M69">
        <v>814388.79084208701</v>
      </c>
      <c r="N69">
        <v>16966.43</v>
      </c>
      <c r="O69" t="s">
        <v>37</v>
      </c>
      <c r="P69">
        <v>2</v>
      </c>
      <c r="Q69">
        <v>166</v>
      </c>
      <c r="R69" t="s">
        <v>34</v>
      </c>
      <c r="S69">
        <v>3</v>
      </c>
      <c r="T69" t="s">
        <v>28</v>
      </c>
      <c r="U69" t="s">
        <v>29</v>
      </c>
    </row>
    <row r="70" spans="1:21" x14ac:dyDescent="0.25">
      <c r="A70" t="s">
        <v>178</v>
      </c>
      <c r="B70">
        <v>30</v>
      </c>
      <c r="C70" t="s">
        <v>22</v>
      </c>
      <c r="D70" t="s">
        <v>23</v>
      </c>
      <c r="E70">
        <v>91260</v>
      </c>
      <c r="F70">
        <v>0</v>
      </c>
      <c r="G70" t="s">
        <v>179</v>
      </c>
      <c r="H70">
        <v>651891</v>
      </c>
      <c r="I70">
        <v>48</v>
      </c>
      <c r="J70">
        <v>16.13</v>
      </c>
      <c r="K70" t="s">
        <v>25</v>
      </c>
      <c r="L70">
        <v>686978.01653816004</v>
      </c>
      <c r="M70">
        <v>124668.84619877</v>
      </c>
      <c r="N70">
        <v>2597.27</v>
      </c>
      <c r="O70" t="s">
        <v>26</v>
      </c>
      <c r="P70">
        <v>1</v>
      </c>
      <c r="Q70">
        <v>17</v>
      </c>
      <c r="R70" t="s">
        <v>34</v>
      </c>
      <c r="S70">
        <v>3</v>
      </c>
      <c r="T70" t="s">
        <v>41</v>
      </c>
      <c r="U70" t="s">
        <v>29</v>
      </c>
    </row>
    <row r="71" spans="1:21" x14ac:dyDescent="0.25">
      <c r="A71" t="s">
        <v>180</v>
      </c>
      <c r="B71">
        <v>56</v>
      </c>
      <c r="C71" t="s">
        <v>31</v>
      </c>
      <c r="D71" t="s">
        <v>49</v>
      </c>
      <c r="E71">
        <v>174476</v>
      </c>
      <c r="F71">
        <v>2</v>
      </c>
      <c r="G71" t="s">
        <v>181</v>
      </c>
      <c r="H71">
        <v>1132448</v>
      </c>
      <c r="I71">
        <v>12</v>
      </c>
      <c r="J71">
        <v>9.64</v>
      </c>
      <c r="K71" t="s">
        <v>44</v>
      </c>
      <c r="L71">
        <v>0</v>
      </c>
      <c r="M71">
        <v>920342.97126484301</v>
      </c>
      <c r="N71">
        <v>76695.25</v>
      </c>
      <c r="O71" t="s">
        <v>26</v>
      </c>
      <c r="P71">
        <v>2</v>
      </c>
      <c r="Q71">
        <v>166</v>
      </c>
      <c r="R71" t="s">
        <v>27</v>
      </c>
      <c r="S71">
        <v>5</v>
      </c>
      <c r="T71" t="s">
        <v>41</v>
      </c>
      <c r="U71" t="s">
        <v>29</v>
      </c>
    </row>
    <row r="72" spans="1:21" x14ac:dyDescent="0.25">
      <c r="A72" t="s">
        <v>182</v>
      </c>
      <c r="B72">
        <v>34</v>
      </c>
      <c r="C72" t="s">
        <v>22</v>
      </c>
      <c r="D72" t="s">
        <v>23</v>
      </c>
      <c r="E72">
        <v>249554</v>
      </c>
      <c r="F72">
        <v>0</v>
      </c>
      <c r="G72" t="s">
        <v>183</v>
      </c>
      <c r="H72">
        <v>1371448</v>
      </c>
      <c r="I72">
        <v>72</v>
      </c>
      <c r="J72">
        <v>14.85</v>
      </c>
      <c r="K72" t="s">
        <v>33</v>
      </c>
      <c r="L72">
        <v>1389248.5033531799</v>
      </c>
      <c r="M72">
        <v>1138870.72200153</v>
      </c>
      <c r="N72">
        <v>15817.65</v>
      </c>
      <c r="O72" t="s">
        <v>26</v>
      </c>
      <c r="P72">
        <v>0</v>
      </c>
      <c r="Q72">
        <v>0</v>
      </c>
      <c r="R72" t="s">
        <v>65</v>
      </c>
      <c r="S72">
        <v>3</v>
      </c>
      <c r="T72" t="s">
        <v>28</v>
      </c>
      <c r="U72" t="s">
        <v>79</v>
      </c>
    </row>
    <row r="73" spans="1:21" x14ac:dyDescent="0.25">
      <c r="A73" t="s">
        <v>184</v>
      </c>
      <c r="B73">
        <v>51</v>
      </c>
      <c r="C73" t="s">
        <v>22</v>
      </c>
      <c r="D73" t="s">
        <v>49</v>
      </c>
      <c r="E73">
        <v>175928</v>
      </c>
      <c r="F73">
        <v>3</v>
      </c>
      <c r="G73" t="s">
        <v>185</v>
      </c>
      <c r="H73">
        <v>407246</v>
      </c>
      <c r="I73">
        <v>60</v>
      </c>
      <c r="J73">
        <v>8.84</v>
      </c>
      <c r="K73" t="s">
        <v>25</v>
      </c>
      <c r="L73">
        <v>318219.16641768499</v>
      </c>
      <c r="M73">
        <v>217488.34169348699</v>
      </c>
      <c r="N73">
        <v>3624.81</v>
      </c>
      <c r="O73" t="s">
        <v>26</v>
      </c>
      <c r="P73">
        <v>1</v>
      </c>
      <c r="Q73">
        <v>10</v>
      </c>
      <c r="R73" t="s">
        <v>65</v>
      </c>
      <c r="S73">
        <v>3</v>
      </c>
      <c r="T73" t="s">
        <v>28</v>
      </c>
      <c r="U73" t="s">
        <v>29</v>
      </c>
    </row>
    <row r="74" spans="1:21" x14ac:dyDescent="0.25">
      <c r="A74" t="s">
        <v>186</v>
      </c>
      <c r="B74">
        <v>35</v>
      </c>
      <c r="C74" t="s">
        <v>31</v>
      </c>
      <c r="D74" t="s">
        <v>23</v>
      </c>
      <c r="E74">
        <v>155272</v>
      </c>
      <c r="F74">
        <v>1</v>
      </c>
      <c r="G74" t="s">
        <v>187</v>
      </c>
      <c r="H74">
        <v>1587111</v>
      </c>
      <c r="I74">
        <v>48</v>
      </c>
      <c r="J74">
        <v>8.89</v>
      </c>
      <c r="K74" t="s">
        <v>44</v>
      </c>
      <c r="L74">
        <v>0</v>
      </c>
      <c r="M74">
        <v>240573.141087948</v>
      </c>
      <c r="N74">
        <v>5011.9399999999996</v>
      </c>
      <c r="O74" t="s">
        <v>68</v>
      </c>
      <c r="P74">
        <v>0</v>
      </c>
      <c r="Q74">
        <v>0</v>
      </c>
      <c r="R74" t="s">
        <v>27</v>
      </c>
      <c r="S74">
        <v>9</v>
      </c>
      <c r="T74" t="s">
        <v>45</v>
      </c>
      <c r="U74" t="s">
        <v>29</v>
      </c>
    </row>
    <row r="75" spans="1:21" x14ac:dyDescent="0.25">
      <c r="A75" t="s">
        <v>188</v>
      </c>
      <c r="B75">
        <v>28</v>
      </c>
      <c r="C75" t="s">
        <v>22</v>
      </c>
      <c r="D75" t="s">
        <v>23</v>
      </c>
      <c r="E75">
        <v>79178</v>
      </c>
      <c r="F75">
        <v>3</v>
      </c>
      <c r="G75" t="s">
        <v>189</v>
      </c>
      <c r="H75">
        <v>1482769</v>
      </c>
      <c r="I75">
        <v>72</v>
      </c>
      <c r="J75">
        <v>6.39</v>
      </c>
      <c r="K75" t="s">
        <v>44</v>
      </c>
      <c r="L75">
        <v>0</v>
      </c>
      <c r="M75">
        <v>381265.67722954502</v>
      </c>
      <c r="N75">
        <v>5295.36</v>
      </c>
      <c r="O75" t="s">
        <v>26</v>
      </c>
      <c r="P75">
        <v>2</v>
      </c>
      <c r="Q75">
        <v>7</v>
      </c>
      <c r="R75" t="s">
        <v>34</v>
      </c>
      <c r="S75">
        <v>3</v>
      </c>
      <c r="T75" t="s">
        <v>41</v>
      </c>
      <c r="U75" t="s">
        <v>29</v>
      </c>
    </row>
    <row r="76" spans="1:21" x14ac:dyDescent="0.25">
      <c r="A76" t="s">
        <v>190</v>
      </c>
      <c r="B76">
        <v>34</v>
      </c>
      <c r="C76" t="s">
        <v>22</v>
      </c>
      <c r="D76" t="s">
        <v>49</v>
      </c>
      <c r="E76">
        <v>48997</v>
      </c>
      <c r="F76">
        <v>1</v>
      </c>
      <c r="G76" t="s">
        <v>191</v>
      </c>
      <c r="H76">
        <v>1905591</v>
      </c>
      <c r="I76">
        <v>36</v>
      </c>
      <c r="J76">
        <v>10.72</v>
      </c>
      <c r="K76" t="s">
        <v>44</v>
      </c>
      <c r="L76">
        <v>0</v>
      </c>
      <c r="M76">
        <v>1403817.72880089</v>
      </c>
      <c r="N76">
        <v>38994.94</v>
      </c>
      <c r="O76" t="s">
        <v>26</v>
      </c>
      <c r="P76">
        <v>3</v>
      </c>
      <c r="Q76">
        <v>63</v>
      </c>
      <c r="R76" t="s">
        <v>34</v>
      </c>
      <c r="S76">
        <v>1</v>
      </c>
      <c r="T76" t="s">
        <v>45</v>
      </c>
      <c r="U76" t="s">
        <v>29</v>
      </c>
    </row>
    <row r="77" spans="1:21" x14ac:dyDescent="0.25">
      <c r="A77" t="s">
        <v>192</v>
      </c>
      <c r="B77">
        <v>43</v>
      </c>
      <c r="C77" t="s">
        <v>22</v>
      </c>
      <c r="D77" t="s">
        <v>23</v>
      </c>
      <c r="E77">
        <v>171683</v>
      </c>
      <c r="F77">
        <v>1</v>
      </c>
      <c r="G77" t="s">
        <v>193</v>
      </c>
      <c r="H77">
        <v>135774</v>
      </c>
      <c r="I77">
        <v>72</v>
      </c>
      <c r="J77">
        <v>14.49</v>
      </c>
      <c r="K77" t="s">
        <v>25</v>
      </c>
      <c r="L77">
        <v>179524.19975703099</v>
      </c>
      <c r="M77">
        <v>100554.244832881</v>
      </c>
      <c r="N77">
        <v>1396.59</v>
      </c>
      <c r="O77" t="s">
        <v>26</v>
      </c>
      <c r="P77">
        <v>2</v>
      </c>
      <c r="Q77">
        <v>51</v>
      </c>
      <c r="R77" t="s">
        <v>34</v>
      </c>
      <c r="S77">
        <v>3</v>
      </c>
      <c r="T77" t="s">
        <v>45</v>
      </c>
      <c r="U77" t="s">
        <v>29</v>
      </c>
    </row>
    <row r="78" spans="1:21" x14ac:dyDescent="0.25">
      <c r="A78" t="s">
        <v>194</v>
      </c>
      <c r="B78">
        <v>60</v>
      </c>
      <c r="C78" t="s">
        <v>22</v>
      </c>
      <c r="D78" t="s">
        <v>49</v>
      </c>
      <c r="E78">
        <v>134273</v>
      </c>
      <c r="F78">
        <v>0</v>
      </c>
      <c r="G78" t="s">
        <v>195</v>
      </c>
      <c r="H78">
        <v>438518</v>
      </c>
      <c r="I78">
        <v>48</v>
      </c>
      <c r="J78">
        <v>17.22</v>
      </c>
      <c r="K78" t="s">
        <v>44</v>
      </c>
      <c r="L78">
        <v>0</v>
      </c>
      <c r="M78">
        <v>398402.26270037697</v>
      </c>
      <c r="N78">
        <v>8300.0499999999993</v>
      </c>
      <c r="O78" t="s">
        <v>26</v>
      </c>
      <c r="P78">
        <v>0</v>
      </c>
      <c r="Q78">
        <v>0</v>
      </c>
      <c r="R78" t="s">
        <v>27</v>
      </c>
      <c r="S78">
        <v>0</v>
      </c>
      <c r="T78" t="s">
        <v>38</v>
      </c>
      <c r="U78" t="s">
        <v>29</v>
      </c>
    </row>
    <row r="79" spans="1:21" x14ac:dyDescent="0.25">
      <c r="A79" t="s">
        <v>196</v>
      </c>
      <c r="B79">
        <v>41</v>
      </c>
      <c r="C79" t="s">
        <v>22</v>
      </c>
      <c r="D79" t="s">
        <v>23</v>
      </c>
      <c r="E79">
        <v>187307</v>
      </c>
      <c r="F79">
        <v>3</v>
      </c>
      <c r="G79" t="s">
        <v>197</v>
      </c>
      <c r="H79">
        <v>1297098</v>
      </c>
      <c r="I79">
        <v>24</v>
      </c>
      <c r="J79">
        <v>12.85</v>
      </c>
      <c r="K79" t="s">
        <v>44</v>
      </c>
      <c r="L79">
        <v>0</v>
      </c>
      <c r="M79">
        <v>809930.73179129104</v>
      </c>
      <c r="N79">
        <v>33747.11</v>
      </c>
      <c r="O79" t="s">
        <v>26</v>
      </c>
      <c r="P79">
        <v>1</v>
      </c>
      <c r="Q79">
        <v>5</v>
      </c>
      <c r="R79" t="s">
        <v>27</v>
      </c>
      <c r="S79">
        <v>5</v>
      </c>
      <c r="T79" t="s">
        <v>41</v>
      </c>
      <c r="U79" t="s">
        <v>29</v>
      </c>
    </row>
    <row r="80" spans="1:21" x14ac:dyDescent="0.25">
      <c r="A80" t="s">
        <v>198</v>
      </c>
      <c r="B80">
        <v>36</v>
      </c>
      <c r="C80" t="s">
        <v>22</v>
      </c>
      <c r="D80" t="s">
        <v>23</v>
      </c>
      <c r="E80">
        <v>181129</v>
      </c>
      <c r="F80">
        <v>2</v>
      </c>
      <c r="G80" t="s">
        <v>199</v>
      </c>
      <c r="H80">
        <v>1318933</v>
      </c>
      <c r="I80">
        <v>60</v>
      </c>
      <c r="J80">
        <v>16.22</v>
      </c>
      <c r="K80" t="s">
        <v>64</v>
      </c>
      <c r="L80">
        <v>1652423.4362486899</v>
      </c>
      <c r="M80">
        <v>279213.67253875203</v>
      </c>
      <c r="N80">
        <v>4653.5600000000004</v>
      </c>
      <c r="O80" t="s">
        <v>37</v>
      </c>
      <c r="P80">
        <v>2</v>
      </c>
      <c r="Q80">
        <v>159</v>
      </c>
      <c r="R80" t="s">
        <v>34</v>
      </c>
      <c r="S80">
        <v>3</v>
      </c>
      <c r="T80" t="s">
        <v>41</v>
      </c>
      <c r="U80" t="s">
        <v>29</v>
      </c>
    </row>
    <row r="81" spans="1:21" x14ac:dyDescent="0.25">
      <c r="A81" t="s">
        <v>200</v>
      </c>
      <c r="B81">
        <v>38</v>
      </c>
      <c r="C81" t="s">
        <v>31</v>
      </c>
      <c r="D81" t="s">
        <v>58</v>
      </c>
      <c r="E81">
        <v>147311</v>
      </c>
      <c r="F81">
        <v>3</v>
      </c>
      <c r="G81" t="s">
        <v>201</v>
      </c>
      <c r="H81">
        <v>462672</v>
      </c>
      <c r="I81">
        <v>60</v>
      </c>
      <c r="J81">
        <v>15.69</v>
      </c>
      <c r="K81" t="s">
        <v>33</v>
      </c>
      <c r="L81">
        <v>570409.42592119297</v>
      </c>
      <c r="M81">
        <v>96824.949443816804</v>
      </c>
      <c r="N81">
        <v>1613.75</v>
      </c>
      <c r="O81" t="s">
        <v>26</v>
      </c>
      <c r="P81">
        <v>1</v>
      </c>
      <c r="Q81">
        <v>39</v>
      </c>
      <c r="R81" t="s">
        <v>34</v>
      </c>
      <c r="S81">
        <v>3</v>
      </c>
      <c r="T81" t="s">
        <v>38</v>
      </c>
      <c r="U81" t="s">
        <v>29</v>
      </c>
    </row>
    <row r="82" spans="1:21" x14ac:dyDescent="0.25">
      <c r="A82" t="s">
        <v>202</v>
      </c>
      <c r="B82">
        <v>44</v>
      </c>
      <c r="C82" t="s">
        <v>31</v>
      </c>
      <c r="D82" t="s">
        <v>23</v>
      </c>
      <c r="E82">
        <v>249746</v>
      </c>
      <c r="F82">
        <v>3</v>
      </c>
      <c r="G82" t="s">
        <v>203</v>
      </c>
      <c r="H82">
        <v>1976126</v>
      </c>
      <c r="I82">
        <v>60</v>
      </c>
      <c r="J82">
        <v>7.25</v>
      </c>
      <c r="K82" t="s">
        <v>25</v>
      </c>
      <c r="L82">
        <v>2719529.7373128999</v>
      </c>
      <c r="M82">
        <v>1480156.1607327</v>
      </c>
      <c r="N82">
        <v>24669.27</v>
      </c>
      <c r="O82" t="s">
        <v>68</v>
      </c>
      <c r="P82">
        <v>10</v>
      </c>
      <c r="Q82">
        <v>61</v>
      </c>
      <c r="R82" t="s">
        <v>34</v>
      </c>
      <c r="S82">
        <v>3</v>
      </c>
      <c r="T82" t="s">
        <v>45</v>
      </c>
      <c r="U82" t="s">
        <v>29</v>
      </c>
    </row>
    <row r="83" spans="1:21" x14ac:dyDescent="0.25">
      <c r="A83" t="s">
        <v>204</v>
      </c>
      <c r="B83">
        <v>46</v>
      </c>
      <c r="C83" t="s">
        <v>31</v>
      </c>
      <c r="D83" t="s">
        <v>23</v>
      </c>
      <c r="E83">
        <v>211733</v>
      </c>
      <c r="F83">
        <v>2</v>
      </c>
      <c r="G83" t="s">
        <v>205</v>
      </c>
      <c r="H83">
        <v>1164518</v>
      </c>
      <c r="I83">
        <v>72</v>
      </c>
      <c r="J83">
        <v>11.32</v>
      </c>
      <c r="K83" t="s">
        <v>64</v>
      </c>
      <c r="L83">
        <v>1423954.6775465701</v>
      </c>
      <c r="M83">
        <v>309070.29557791102</v>
      </c>
      <c r="N83">
        <v>4292.6400000000003</v>
      </c>
      <c r="O83" t="s">
        <v>26</v>
      </c>
      <c r="P83">
        <v>3</v>
      </c>
      <c r="Q83">
        <v>32</v>
      </c>
      <c r="R83" t="s">
        <v>34</v>
      </c>
      <c r="S83">
        <v>1</v>
      </c>
      <c r="T83" t="s">
        <v>41</v>
      </c>
      <c r="U83" t="s">
        <v>29</v>
      </c>
    </row>
    <row r="84" spans="1:21" x14ac:dyDescent="0.25">
      <c r="A84" t="s">
        <v>206</v>
      </c>
      <c r="B84">
        <v>45</v>
      </c>
      <c r="C84" t="s">
        <v>31</v>
      </c>
      <c r="D84" t="s">
        <v>49</v>
      </c>
      <c r="E84">
        <v>141945</v>
      </c>
      <c r="F84">
        <v>0</v>
      </c>
      <c r="G84" t="s">
        <v>207</v>
      </c>
      <c r="H84">
        <v>587977</v>
      </c>
      <c r="I84">
        <v>60</v>
      </c>
      <c r="J84">
        <v>6.52</v>
      </c>
      <c r="K84" t="s">
        <v>44</v>
      </c>
      <c r="L84">
        <v>0</v>
      </c>
      <c r="M84">
        <v>232572.508817266</v>
      </c>
      <c r="N84">
        <v>3876.21</v>
      </c>
      <c r="O84" t="s">
        <v>26</v>
      </c>
      <c r="P84">
        <v>3</v>
      </c>
      <c r="Q84">
        <v>121</v>
      </c>
      <c r="R84" t="s">
        <v>34</v>
      </c>
      <c r="S84">
        <v>3</v>
      </c>
      <c r="T84" t="s">
        <v>45</v>
      </c>
      <c r="U84" t="s">
        <v>29</v>
      </c>
    </row>
    <row r="85" spans="1:21" x14ac:dyDescent="0.25">
      <c r="A85" t="s">
        <v>208</v>
      </c>
      <c r="B85">
        <v>61</v>
      </c>
      <c r="C85" t="s">
        <v>31</v>
      </c>
      <c r="D85" t="s">
        <v>23</v>
      </c>
      <c r="E85">
        <v>60272</v>
      </c>
      <c r="F85">
        <v>3</v>
      </c>
      <c r="G85" t="s">
        <v>209</v>
      </c>
      <c r="H85">
        <v>1656140</v>
      </c>
      <c r="I85">
        <v>48</v>
      </c>
      <c r="J85">
        <v>13.87</v>
      </c>
      <c r="K85" t="s">
        <v>25</v>
      </c>
      <c r="L85">
        <v>1212031.63686043</v>
      </c>
      <c r="M85">
        <v>891816.16382929299</v>
      </c>
      <c r="N85">
        <v>18579.5</v>
      </c>
      <c r="O85" t="s">
        <v>37</v>
      </c>
      <c r="P85">
        <v>3</v>
      </c>
      <c r="Q85">
        <v>171</v>
      </c>
      <c r="R85" t="s">
        <v>34</v>
      </c>
      <c r="S85">
        <v>0</v>
      </c>
      <c r="T85" t="s">
        <v>38</v>
      </c>
      <c r="U85" t="s">
        <v>29</v>
      </c>
    </row>
    <row r="86" spans="1:21" x14ac:dyDescent="0.25">
      <c r="A86" t="s">
        <v>210</v>
      </c>
      <c r="B86">
        <v>49</v>
      </c>
      <c r="C86" t="s">
        <v>22</v>
      </c>
      <c r="D86" t="s">
        <v>49</v>
      </c>
      <c r="E86">
        <v>104393</v>
      </c>
      <c r="F86">
        <v>3</v>
      </c>
      <c r="G86" t="s">
        <v>211</v>
      </c>
      <c r="H86">
        <v>1608141</v>
      </c>
      <c r="I86">
        <v>72</v>
      </c>
      <c r="J86">
        <v>17.350000000000001</v>
      </c>
      <c r="K86" t="s">
        <v>25</v>
      </c>
      <c r="L86">
        <v>1938714.8246750501</v>
      </c>
      <c r="M86">
        <v>196656.97349117001</v>
      </c>
      <c r="N86">
        <v>2731.35</v>
      </c>
      <c r="O86" t="s">
        <v>37</v>
      </c>
      <c r="P86">
        <v>1</v>
      </c>
      <c r="Q86">
        <v>29</v>
      </c>
      <c r="R86" t="s">
        <v>34</v>
      </c>
      <c r="S86">
        <v>1</v>
      </c>
      <c r="T86" t="s">
        <v>28</v>
      </c>
      <c r="U86" t="s">
        <v>29</v>
      </c>
    </row>
    <row r="87" spans="1:21" x14ac:dyDescent="0.25">
      <c r="A87" t="s">
        <v>212</v>
      </c>
      <c r="B87">
        <v>35</v>
      </c>
      <c r="C87" t="s">
        <v>22</v>
      </c>
      <c r="D87" t="s">
        <v>23</v>
      </c>
      <c r="E87">
        <v>76212</v>
      </c>
      <c r="F87">
        <v>1</v>
      </c>
      <c r="G87" t="s">
        <v>213</v>
      </c>
      <c r="H87">
        <v>1621128</v>
      </c>
      <c r="I87">
        <v>60</v>
      </c>
      <c r="J87">
        <v>6.78</v>
      </c>
      <c r="K87" t="s">
        <v>25</v>
      </c>
      <c r="L87">
        <v>1309389.6464650501</v>
      </c>
      <c r="M87">
        <v>525143.54247129103</v>
      </c>
      <c r="N87">
        <v>8752.39</v>
      </c>
      <c r="O87" t="s">
        <v>26</v>
      </c>
      <c r="P87">
        <v>2</v>
      </c>
      <c r="Q87">
        <v>144</v>
      </c>
      <c r="R87" t="s">
        <v>27</v>
      </c>
      <c r="S87">
        <v>8</v>
      </c>
      <c r="T87" t="s">
        <v>45</v>
      </c>
      <c r="U87" t="s">
        <v>29</v>
      </c>
    </row>
    <row r="88" spans="1:21" x14ac:dyDescent="0.25">
      <c r="A88" t="s">
        <v>214</v>
      </c>
      <c r="B88">
        <v>21</v>
      </c>
      <c r="C88" t="s">
        <v>22</v>
      </c>
      <c r="D88" t="s">
        <v>58</v>
      </c>
      <c r="E88">
        <v>161470</v>
      </c>
      <c r="F88">
        <v>3</v>
      </c>
      <c r="G88" t="s">
        <v>215</v>
      </c>
      <c r="H88">
        <v>676256</v>
      </c>
      <c r="I88">
        <v>36</v>
      </c>
      <c r="J88">
        <v>14.54</v>
      </c>
      <c r="K88" t="s">
        <v>44</v>
      </c>
      <c r="L88">
        <v>0</v>
      </c>
      <c r="M88">
        <v>315879.61558162898</v>
      </c>
      <c r="N88">
        <v>8774.43</v>
      </c>
      <c r="O88" t="s">
        <v>37</v>
      </c>
      <c r="P88">
        <v>1</v>
      </c>
      <c r="Q88">
        <v>55</v>
      </c>
      <c r="R88" t="s">
        <v>34</v>
      </c>
      <c r="S88">
        <v>2</v>
      </c>
      <c r="T88" t="s">
        <v>41</v>
      </c>
      <c r="U88" t="s">
        <v>29</v>
      </c>
    </row>
    <row r="89" spans="1:21" x14ac:dyDescent="0.25">
      <c r="A89" t="s">
        <v>216</v>
      </c>
      <c r="B89">
        <v>45</v>
      </c>
      <c r="C89" t="s">
        <v>22</v>
      </c>
      <c r="D89" t="s">
        <v>49</v>
      </c>
      <c r="E89">
        <v>135030</v>
      </c>
      <c r="F89">
        <v>2</v>
      </c>
      <c r="G89" t="s">
        <v>217</v>
      </c>
      <c r="H89">
        <v>463089</v>
      </c>
      <c r="I89">
        <v>72</v>
      </c>
      <c r="J89">
        <v>13.22</v>
      </c>
      <c r="K89" t="s">
        <v>25</v>
      </c>
      <c r="L89">
        <v>343692.91665476002</v>
      </c>
      <c r="M89">
        <v>162855.75278523</v>
      </c>
      <c r="N89">
        <v>2261.89</v>
      </c>
      <c r="O89" t="s">
        <v>26</v>
      </c>
      <c r="P89">
        <v>1</v>
      </c>
      <c r="Q89">
        <v>119</v>
      </c>
      <c r="R89" t="s">
        <v>34</v>
      </c>
      <c r="S89">
        <v>0</v>
      </c>
      <c r="T89" t="s">
        <v>28</v>
      </c>
      <c r="U89" t="s">
        <v>29</v>
      </c>
    </row>
    <row r="90" spans="1:21" x14ac:dyDescent="0.25">
      <c r="A90" t="s">
        <v>218</v>
      </c>
      <c r="B90">
        <v>27</v>
      </c>
      <c r="C90" t="s">
        <v>22</v>
      </c>
      <c r="D90" t="s">
        <v>49</v>
      </c>
      <c r="E90">
        <v>71503</v>
      </c>
      <c r="F90">
        <v>1</v>
      </c>
      <c r="G90" t="s">
        <v>219</v>
      </c>
      <c r="H90">
        <v>1898058</v>
      </c>
      <c r="I90">
        <v>24</v>
      </c>
      <c r="J90">
        <v>12.59</v>
      </c>
      <c r="K90" t="s">
        <v>25</v>
      </c>
      <c r="L90">
        <v>1087594.05353188</v>
      </c>
      <c r="M90">
        <v>422760.71191119001</v>
      </c>
      <c r="N90">
        <v>17615.03</v>
      </c>
      <c r="O90" t="s">
        <v>26</v>
      </c>
      <c r="P90">
        <v>2</v>
      </c>
      <c r="Q90">
        <v>179</v>
      </c>
      <c r="R90" t="s">
        <v>34</v>
      </c>
      <c r="S90">
        <v>3</v>
      </c>
      <c r="T90" t="s">
        <v>45</v>
      </c>
      <c r="U90" t="s">
        <v>29</v>
      </c>
    </row>
    <row r="91" spans="1:21" x14ac:dyDescent="0.25">
      <c r="A91" t="s">
        <v>220</v>
      </c>
      <c r="B91">
        <v>29</v>
      </c>
      <c r="C91" t="s">
        <v>22</v>
      </c>
      <c r="D91" t="s">
        <v>58</v>
      </c>
      <c r="E91">
        <v>152710</v>
      </c>
      <c r="F91">
        <v>0</v>
      </c>
      <c r="G91" t="s">
        <v>221</v>
      </c>
      <c r="H91">
        <v>640504</v>
      </c>
      <c r="I91">
        <v>60</v>
      </c>
      <c r="J91">
        <v>10.07</v>
      </c>
      <c r="K91" t="s">
        <v>33</v>
      </c>
      <c r="L91">
        <v>796805.281827008</v>
      </c>
      <c r="M91">
        <v>483715.68685074599</v>
      </c>
      <c r="N91">
        <v>8061.93</v>
      </c>
      <c r="O91" t="s">
        <v>37</v>
      </c>
      <c r="P91">
        <v>3</v>
      </c>
      <c r="Q91">
        <v>65</v>
      </c>
      <c r="R91" t="s">
        <v>34</v>
      </c>
      <c r="S91">
        <v>0</v>
      </c>
      <c r="T91" t="s">
        <v>45</v>
      </c>
      <c r="U91" t="s">
        <v>29</v>
      </c>
    </row>
    <row r="92" spans="1:21" x14ac:dyDescent="0.25">
      <c r="A92" t="s">
        <v>222</v>
      </c>
      <c r="B92">
        <v>44</v>
      </c>
      <c r="C92" t="s">
        <v>31</v>
      </c>
      <c r="D92" t="s">
        <v>23</v>
      </c>
      <c r="E92">
        <v>21570</v>
      </c>
      <c r="F92">
        <v>1</v>
      </c>
      <c r="G92" t="s">
        <v>223</v>
      </c>
      <c r="H92">
        <v>1838380</v>
      </c>
      <c r="I92">
        <v>72</v>
      </c>
      <c r="J92">
        <v>9.6199999999999992</v>
      </c>
      <c r="K92" t="s">
        <v>44</v>
      </c>
      <c r="L92">
        <v>0</v>
      </c>
      <c r="M92">
        <v>1529224.9476769499</v>
      </c>
      <c r="N92">
        <v>21239.24</v>
      </c>
      <c r="O92" t="s">
        <v>26</v>
      </c>
      <c r="P92">
        <v>3</v>
      </c>
      <c r="Q92">
        <v>94</v>
      </c>
      <c r="R92" t="s">
        <v>34</v>
      </c>
      <c r="S92">
        <v>3</v>
      </c>
      <c r="T92" t="s">
        <v>28</v>
      </c>
      <c r="U92" t="s">
        <v>29</v>
      </c>
    </row>
    <row r="93" spans="1:21" x14ac:dyDescent="0.25">
      <c r="A93" t="s">
        <v>224</v>
      </c>
      <c r="B93">
        <v>21</v>
      </c>
      <c r="C93" t="s">
        <v>31</v>
      </c>
      <c r="D93" t="s">
        <v>58</v>
      </c>
      <c r="E93">
        <v>83785</v>
      </c>
      <c r="F93">
        <v>2</v>
      </c>
      <c r="G93" t="s">
        <v>225</v>
      </c>
      <c r="H93">
        <v>396184</v>
      </c>
      <c r="I93">
        <v>60</v>
      </c>
      <c r="J93">
        <v>5.59</v>
      </c>
      <c r="K93" t="s">
        <v>44</v>
      </c>
      <c r="L93">
        <v>0</v>
      </c>
      <c r="M93">
        <v>131426.54561607301</v>
      </c>
      <c r="N93">
        <v>2190.44</v>
      </c>
      <c r="O93" t="s">
        <v>26</v>
      </c>
      <c r="P93">
        <v>2</v>
      </c>
      <c r="Q93">
        <v>42</v>
      </c>
      <c r="R93" t="s">
        <v>34</v>
      </c>
      <c r="S93">
        <v>0</v>
      </c>
      <c r="T93" t="s">
        <v>28</v>
      </c>
      <c r="U93" t="s">
        <v>29</v>
      </c>
    </row>
    <row r="94" spans="1:21" x14ac:dyDescent="0.25">
      <c r="A94" t="s">
        <v>226</v>
      </c>
      <c r="B94">
        <v>64</v>
      </c>
      <c r="C94" t="s">
        <v>22</v>
      </c>
      <c r="D94" t="s">
        <v>23</v>
      </c>
      <c r="E94">
        <v>24110</v>
      </c>
      <c r="F94">
        <v>2</v>
      </c>
      <c r="G94" t="s">
        <v>227</v>
      </c>
      <c r="H94">
        <v>595932</v>
      </c>
      <c r="I94">
        <v>60</v>
      </c>
      <c r="J94">
        <v>7.83</v>
      </c>
      <c r="K94" t="s">
        <v>44</v>
      </c>
      <c r="L94">
        <v>0</v>
      </c>
      <c r="M94">
        <v>474944.42243375099</v>
      </c>
      <c r="N94">
        <v>7915.74</v>
      </c>
      <c r="O94" t="s">
        <v>37</v>
      </c>
      <c r="P94">
        <v>1</v>
      </c>
      <c r="Q94">
        <v>155</v>
      </c>
      <c r="R94" t="s">
        <v>34</v>
      </c>
      <c r="S94">
        <v>1</v>
      </c>
      <c r="T94" t="s">
        <v>28</v>
      </c>
      <c r="U94" t="s">
        <v>29</v>
      </c>
    </row>
    <row r="95" spans="1:21" x14ac:dyDescent="0.25">
      <c r="A95" t="s">
        <v>228</v>
      </c>
      <c r="B95">
        <v>28</v>
      </c>
      <c r="C95" t="s">
        <v>22</v>
      </c>
      <c r="D95" t="s">
        <v>23</v>
      </c>
      <c r="E95">
        <v>94141</v>
      </c>
      <c r="F95">
        <v>1</v>
      </c>
      <c r="G95" t="s">
        <v>229</v>
      </c>
      <c r="H95">
        <v>112021</v>
      </c>
      <c r="I95">
        <v>60</v>
      </c>
      <c r="J95">
        <v>5.2</v>
      </c>
      <c r="K95" t="s">
        <v>44</v>
      </c>
      <c r="L95">
        <v>0</v>
      </c>
      <c r="M95">
        <v>50073.186254019602</v>
      </c>
      <c r="N95">
        <v>834.55</v>
      </c>
      <c r="O95" t="s">
        <v>68</v>
      </c>
      <c r="P95">
        <v>2</v>
      </c>
      <c r="Q95">
        <v>155</v>
      </c>
      <c r="R95" t="s">
        <v>34</v>
      </c>
      <c r="S95">
        <v>3</v>
      </c>
      <c r="T95" t="s">
        <v>41</v>
      </c>
      <c r="U95" t="s">
        <v>29</v>
      </c>
    </row>
    <row r="96" spans="1:21" x14ac:dyDescent="0.25">
      <c r="A96" t="s">
        <v>230</v>
      </c>
      <c r="B96">
        <v>44</v>
      </c>
      <c r="C96" t="s">
        <v>22</v>
      </c>
      <c r="D96" t="s">
        <v>23</v>
      </c>
      <c r="E96">
        <v>27115</v>
      </c>
      <c r="F96">
        <v>0</v>
      </c>
      <c r="G96" t="s">
        <v>231</v>
      </c>
      <c r="H96">
        <v>742485</v>
      </c>
      <c r="I96">
        <v>48</v>
      </c>
      <c r="J96">
        <v>12.56</v>
      </c>
      <c r="K96" t="s">
        <v>25</v>
      </c>
      <c r="L96">
        <v>899150.04923330597</v>
      </c>
      <c r="M96">
        <v>412834.439480011</v>
      </c>
      <c r="N96">
        <v>8600.7199999999993</v>
      </c>
      <c r="O96" t="s">
        <v>26</v>
      </c>
      <c r="P96">
        <v>3</v>
      </c>
      <c r="Q96">
        <v>29</v>
      </c>
      <c r="R96" t="s">
        <v>27</v>
      </c>
      <c r="S96">
        <v>10</v>
      </c>
      <c r="T96" t="s">
        <v>41</v>
      </c>
      <c r="U96" t="s">
        <v>29</v>
      </c>
    </row>
    <row r="97" spans="1:21" x14ac:dyDescent="0.25">
      <c r="A97" t="s">
        <v>232</v>
      </c>
      <c r="B97">
        <v>31</v>
      </c>
      <c r="C97" t="s">
        <v>31</v>
      </c>
      <c r="D97" t="s">
        <v>23</v>
      </c>
      <c r="E97">
        <v>54062</v>
      </c>
      <c r="F97">
        <v>1</v>
      </c>
      <c r="G97" t="s">
        <v>233</v>
      </c>
      <c r="H97">
        <v>510115</v>
      </c>
      <c r="I97">
        <v>72</v>
      </c>
      <c r="J97">
        <v>6.38</v>
      </c>
      <c r="K97" t="s">
        <v>44</v>
      </c>
      <c r="L97">
        <v>0</v>
      </c>
      <c r="M97">
        <v>444004.58948720898</v>
      </c>
      <c r="N97">
        <v>6166.73</v>
      </c>
      <c r="O97" t="s">
        <v>26</v>
      </c>
      <c r="P97">
        <v>0</v>
      </c>
      <c r="Q97">
        <v>0</v>
      </c>
      <c r="R97" t="s">
        <v>34</v>
      </c>
      <c r="S97">
        <v>1</v>
      </c>
      <c r="T97" t="s">
        <v>45</v>
      </c>
      <c r="U97" t="s">
        <v>29</v>
      </c>
    </row>
    <row r="98" spans="1:21" x14ac:dyDescent="0.25">
      <c r="A98" t="s">
        <v>234</v>
      </c>
      <c r="B98">
        <v>37</v>
      </c>
      <c r="C98" t="s">
        <v>31</v>
      </c>
      <c r="D98" t="s">
        <v>23</v>
      </c>
      <c r="E98">
        <v>37911</v>
      </c>
      <c r="F98">
        <v>0</v>
      </c>
      <c r="G98" t="s">
        <v>235</v>
      </c>
      <c r="H98">
        <v>92291</v>
      </c>
      <c r="I98">
        <v>24</v>
      </c>
      <c r="J98">
        <v>16.350000000000001</v>
      </c>
      <c r="K98" t="s">
        <v>33</v>
      </c>
      <c r="L98">
        <v>67787.691294019794</v>
      </c>
      <c r="M98">
        <v>71521.677722503402</v>
      </c>
      <c r="N98">
        <v>2980.07</v>
      </c>
      <c r="O98" t="s">
        <v>26</v>
      </c>
      <c r="P98">
        <v>0</v>
      </c>
      <c r="Q98">
        <v>0</v>
      </c>
      <c r="R98" t="s">
        <v>27</v>
      </c>
      <c r="S98">
        <v>1</v>
      </c>
      <c r="T98" t="s">
        <v>45</v>
      </c>
      <c r="U98" t="s">
        <v>29</v>
      </c>
    </row>
    <row r="99" spans="1:21" x14ac:dyDescent="0.25">
      <c r="A99" t="s">
        <v>236</v>
      </c>
      <c r="B99">
        <v>28</v>
      </c>
      <c r="C99" t="s">
        <v>22</v>
      </c>
      <c r="D99" t="s">
        <v>49</v>
      </c>
      <c r="E99">
        <v>119061</v>
      </c>
      <c r="F99">
        <v>1</v>
      </c>
      <c r="G99" t="s">
        <v>237</v>
      </c>
      <c r="H99">
        <v>478276</v>
      </c>
      <c r="I99">
        <v>24</v>
      </c>
      <c r="J99">
        <v>11.8</v>
      </c>
      <c r="K99" t="s">
        <v>44</v>
      </c>
      <c r="L99">
        <v>0</v>
      </c>
      <c r="M99">
        <v>394388.86046208697</v>
      </c>
      <c r="N99">
        <v>16432.87</v>
      </c>
      <c r="O99" t="s">
        <v>68</v>
      </c>
      <c r="P99">
        <v>1</v>
      </c>
      <c r="Q99">
        <v>41</v>
      </c>
      <c r="R99" t="s">
        <v>34</v>
      </c>
      <c r="S99">
        <v>3</v>
      </c>
      <c r="T99" t="s">
        <v>38</v>
      </c>
      <c r="U99" t="s">
        <v>29</v>
      </c>
    </row>
    <row r="100" spans="1:21" x14ac:dyDescent="0.25">
      <c r="A100" t="s">
        <v>238</v>
      </c>
      <c r="B100">
        <v>55</v>
      </c>
      <c r="C100" t="s">
        <v>31</v>
      </c>
      <c r="D100" t="s">
        <v>49</v>
      </c>
      <c r="E100">
        <v>47556</v>
      </c>
      <c r="F100">
        <v>2</v>
      </c>
      <c r="G100" t="s">
        <v>239</v>
      </c>
      <c r="H100">
        <v>444754</v>
      </c>
      <c r="I100">
        <v>36</v>
      </c>
      <c r="J100">
        <v>14.1</v>
      </c>
      <c r="K100" t="s">
        <v>44</v>
      </c>
      <c r="L100">
        <v>0</v>
      </c>
      <c r="M100">
        <v>99251.5916979537</v>
      </c>
      <c r="N100">
        <v>2756.99</v>
      </c>
      <c r="O100" t="s">
        <v>37</v>
      </c>
      <c r="P100">
        <v>1</v>
      </c>
      <c r="Q100">
        <v>79</v>
      </c>
      <c r="R100" t="s">
        <v>34</v>
      </c>
      <c r="S100">
        <v>2</v>
      </c>
      <c r="T100" t="s">
        <v>41</v>
      </c>
      <c r="U100" t="s">
        <v>29</v>
      </c>
    </row>
    <row r="101" spans="1:21" x14ac:dyDescent="0.25">
      <c r="A101" t="s">
        <v>240</v>
      </c>
      <c r="B101">
        <v>55</v>
      </c>
      <c r="C101" t="s">
        <v>22</v>
      </c>
      <c r="D101" t="s">
        <v>58</v>
      </c>
      <c r="E101">
        <v>224203</v>
      </c>
      <c r="F101">
        <v>3</v>
      </c>
      <c r="G101" t="s">
        <v>241</v>
      </c>
      <c r="H101">
        <v>1003680</v>
      </c>
      <c r="I101">
        <v>48</v>
      </c>
      <c r="J101">
        <v>10.34</v>
      </c>
      <c r="K101" t="s">
        <v>25</v>
      </c>
      <c r="L101">
        <v>1253976.7315056999</v>
      </c>
      <c r="M101">
        <v>163346.39398871799</v>
      </c>
      <c r="N101">
        <v>3403.05</v>
      </c>
      <c r="O101" t="s">
        <v>26</v>
      </c>
      <c r="P101">
        <v>1</v>
      </c>
      <c r="Q101">
        <v>27</v>
      </c>
      <c r="R101" t="s">
        <v>34</v>
      </c>
      <c r="S101">
        <v>2</v>
      </c>
      <c r="T101" t="s">
        <v>45</v>
      </c>
      <c r="U101" t="s">
        <v>29</v>
      </c>
    </row>
    <row r="102" spans="1:21" x14ac:dyDescent="0.25">
      <c r="A102" t="s">
        <v>242</v>
      </c>
      <c r="B102">
        <v>53</v>
      </c>
      <c r="C102" t="s">
        <v>22</v>
      </c>
      <c r="D102" t="s">
        <v>23</v>
      </c>
      <c r="E102">
        <v>143335</v>
      </c>
      <c r="F102">
        <v>3</v>
      </c>
      <c r="G102" t="s">
        <v>243</v>
      </c>
      <c r="H102">
        <v>353664</v>
      </c>
      <c r="I102">
        <v>48</v>
      </c>
      <c r="J102">
        <v>12.29</v>
      </c>
      <c r="K102" t="s">
        <v>44</v>
      </c>
      <c r="L102">
        <v>0</v>
      </c>
      <c r="M102">
        <v>319734.981097357</v>
      </c>
      <c r="N102">
        <v>6661.15</v>
      </c>
      <c r="O102" t="s">
        <v>26</v>
      </c>
      <c r="P102">
        <v>3</v>
      </c>
      <c r="Q102">
        <v>148</v>
      </c>
      <c r="R102" t="s">
        <v>34</v>
      </c>
      <c r="S102">
        <v>3</v>
      </c>
      <c r="T102" t="s">
        <v>28</v>
      </c>
      <c r="U102" t="s">
        <v>29</v>
      </c>
    </row>
    <row r="103" spans="1:21" x14ac:dyDescent="0.25">
      <c r="A103" t="s">
        <v>244</v>
      </c>
      <c r="B103">
        <v>25</v>
      </c>
      <c r="C103" t="s">
        <v>22</v>
      </c>
      <c r="D103" t="s">
        <v>49</v>
      </c>
      <c r="E103">
        <v>16969</v>
      </c>
      <c r="F103">
        <v>0</v>
      </c>
      <c r="G103" t="s">
        <v>245</v>
      </c>
      <c r="H103">
        <v>75675</v>
      </c>
      <c r="I103">
        <v>60</v>
      </c>
      <c r="J103">
        <v>17.25</v>
      </c>
      <c r="K103" t="s">
        <v>25</v>
      </c>
      <c r="L103">
        <v>107295.108828105</v>
      </c>
      <c r="M103">
        <v>33981.922514813297</v>
      </c>
      <c r="N103">
        <v>566.37</v>
      </c>
      <c r="O103" t="s">
        <v>26</v>
      </c>
      <c r="P103">
        <v>0</v>
      </c>
      <c r="Q103">
        <v>0</v>
      </c>
      <c r="R103" t="s">
        <v>65</v>
      </c>
      <c r="S103">
        <v>10</v>
      </c>
      <c r="T103" t="s">
        <v>28</v>
      </c>
      <c r="U103" t="s">
        <v>79</v>
      </c>
    </row>
    <row r="104" spans="1:21" x14ac:dyDescent="0.25">
      <c r="A104" t="s">
        <v>246</v>
      </c>
      <c r="B104">
        <v>62</v>
      </c>
      <c r="C104" t="s">
        <v>22</v>
      </c>
      <c r="D104" t="s">
        <v>23</v>
      </c>
      <c r="E104">
        <v>58753</v>
      </c>
      <c r="F104">
        <v>0</v>
      </c>
      <c r="G104" t="s">
        <v>247</v>
      </c>
      <c r="H104">
        <v>723647</v>
      </c>
      <c r="I104">
        <v>36</v>
      </c>
      <c r="J104">
        <v>6.08</v>
      </c>
      <c r="K104" t="s">
        <v>25</v>
      </c>
      <c r="L104">
        <v>439998.33100190898</v>
      </c>
      <c r="M104">
        <v>259855.638856481</v>
      </c>
      <c r="N104">
        <v>7218.21</v>
      </c>
      <c r="O104" t="s">
        <v>37</v>
      </c>
      <c r="P104">
        <v>3</v>
      </c>
      <c r="Q104">
        <v>6</v>
      </c>
      <c r="R104" t="s">
        <v>27</v>
      </c>
      <c r="S104">
        <v>1</v>
      </c>
      <c r="T104" t="s">
        <v>41</v>
      </c>
      <c r="U104" t="s">
        <v>29</v>
      </c>
    </row>
    <row r="105" spans="1:21" x14ac:dyDescent="0.25">
      <c r="A105" t="s">
        <v>248</v>
      </c>
      <c r="B105">
        <v>59</v>
      </c>
      <c r="C105" t="s">
        <v>31</v>
      </c>
      <c r="D105" t="s">
        <v>23</v>
      </c>
      <c r="E105">
        <v>228883</v>
      </c>
      <c r="F105">
        <v>0</v>
      </c>
      <c r="G105" t="s">
        <v>249</v>
      </c>
      <c r="H105">
        <v>312318</v>
      </c>
      <c r="I105">
        <v>48</v>
      </c>
      <c r="J105">
        <v>8.3000000000000007</v>
      </c>
      <c r="K105" t="s">
        <v>44</v>
      </c>
      <c r="L105">
        <v>0</v>
      </c>
      <c r="M105">
        <v>234933.91626468999</v>
      </c>
      <c r="N105">
        <v>4894.46</v>
      </c>
      <c r="O105" t="s">
        <v>37</v>
      </c>
      <c r="P105">
        <v>3</v>
      </c>
      <c r="Q105">
        <v>79</v>
      </c>
      <c r="R105" t="s">
        <v>65</v>
      </c>
      <c r="S105">
        <v>5</v>
      </c>
      <c r="T105" t="s">
        <v>28</v>
      </c>
      <c r="U105" t="s">
        <v>79</v>
      </c>
    </row>
    <row r="106" spans="1:21" x14ac:dyDescent="0.25">
      <c r="A106" t="s">
        <v>250</v>
      </c>
      <c r="B106">
        <v>61</v>
      </c>
      <c r="C106" t="s">
        <v>31</v>
      </c>
      <c r="D106" t="s">
        <v>23</v>
      </c>
      <c r="E106">
        <v>150542</v>
      </c>
      <c r="F106">
        <v>2</v>
      </c>
      <c r="G106" t="s">
        <v>251</v>
      </c>
      <c r="H106">
        <v>1190844</v>
      </c>
      <c r="I106">
        <v>12</v>
      </c>
      <c r="J106">
        <v>15.14</v>
      </c>
      <c r="K106" t="s">
        <v>44</v>
      </c>
      <c r="L106">
        <v>0</v>
      </c>
      <c r="M106">
        <v>1015520.84522419</v>
      </c>
      <c r="N106">
        <v>84626.74</v>
      </c>
      <c r="O106" t="s">
        <v>37</v>
      </c>
      <c r="P106">
        <v>3</v>
      </c>
      <c r="Q106">
        <v>147</v>
      </c>
      <c r="R106" t="s">
        <v>65</v>
      </c>
      <c r="S106">
        <v>10</v>
      </c>
      <c r="T106" t="s">
        <v>38</v>
      </c>
      <c r="U106" t="s">
        <v>29</v>
      </c>
    </row>
    <row r="107" spans="1:21" x14ac:dyDescent="0.25">
      <c r="A107" t="s">
        <v>252</v>
      </c>
      <c r="B107">
        <v>48</v>
      </c>
      <c r="C107" t="s">
        <v>22</v>
      </c>
      <c r="D107" t="s">
        <v>23</v>
      </c>
      <c r="E107">
        <v>136863</v>
      </c>
      <c r="F107">
        <v>1</v>
      </c>
      <c r="G107" t="s">
        <v>253</v>
      </c>
      <c r="H107">
        <v>1395718</v>
      </c>
      <c r="I107">
        <v>36</v>
      </c>
      <c r="J107">
        <v>6.28</v>
      </c>
      <c r="K107" t="s">
        <v>44</v>
      </c>
      <c r="L107">
        <v>0</v>
      </c>
      <c r="M107">
        <v>1222984.86108699</v>
      </c>
      <c r="N107">
        <v>33971.800000000003</v>
      </c>
      <c r="O107" t="s">
        <v>68</v>
      </c>
      <c r="P107">
        <v>8</v>
      </c>
      <c r="Q107">
        <v>173</v>
      </c>
      <c r="R107" t="s">
        <v>27</v>
      </c>
      <c r="S107">
        <v>8</v>
      </c>
      <c r="T107" t="s">
        <v>45</v>
      </c>
      <c r="U107" t="s">
        <v>29</v>
      </c>
    </row>
    <row r="108" spans="1:21" x14ac:dyDescent="0.25">
      <c r="A108" t="s">
        <v>254</v>
      </c>
      <c r="B108">
        <v>27</v>
      </c>
      <c r="C108" t="s">
        <v>31</v>
      </c>
      <c r="D108" t="s">
        <v>49</v>
      </c>
      <c r="E108">
        <v>25225</v>
      </c>
      <c r="F108">
        <v>2</v>
      </c>
      <c r="G108" t="s">
        <v>255</v>
      </c>
      <c r="H108">
        <v>758672</v>
      </c>
      <c r="I108">
        <v>48</v>
      </c>
      <c r="J108">
        <v>5.98</v>
      </c>
      <c r="K108" t="s">
        <v>44</v>
      </c>
      <c r="L108">
        <v>0</v>
      </c>
      <c r="M108">
        <v>291631.564746583</v>
      </c>
      <c r="N108">
        <v>6075.66</v>
      </c>
      <c r="O108" t="s">
        <v>26</v>
      </c>
      <c r="P108">
        <v>2</v>
      </c>
      <c r="Q108">
        <v>96</v>
      </c>
      <c r="R108" t="s">
        <v>34</v>
      </c>
      <c r="S108">
        <v>3</v>
      </c>
      <c r="T108" t="s">
        <v>45</v>
      </c>
      <c r="U108" t="s">
        <v>29</v>
      </c>
    </row>
    <row r="109" spans="1:21" x14ac:dyDescent="0.25">
      <c r="A109" t="s">
        <v>256</v>
      </c>
      <c r="B109">
        <v>29</v>
      </c>
      <c r="C109" t="s">
        <v>31</v>
      </c>
      <c r="D109" t="s">
        <v>23</v>
      </c>
      <c r="E109">
        <v>138008</v>
      </c>
      <c r="F109">
        <v>3</v>
      </c>
      <c r="G109" t="s">
        <v>257</v>
      </c>
      <c r="H109">
        <v>679698</v>
      </c>
      <c r="I109">
        <v>12</v>
      </c>
      <c r="J109">
        <v>9.6999999999999993</v>
      </c>
      <c r="K109" t="s">
        <v>44</v>
      </c>
      <c r="L109">
        <v>0</v>
      </c>
      <c r="M109">
        <v>589292.15208749601</v>
      </c>
      <c r="N109">
        <v>49107.68</v>
      </c>
      <c r="O109" t="s">
        <v>26</v>
      </c>
      <c r="P109">
        <v>0</v>
      </c>
      <c r="Q109">
        <v>0</v>
      </c>
      <c r="R109" t="s">
        <v>34</v>
      </c>
      <c r="S109">
        <v>2</v>
      </c>
      <c r="T109" t="s">
        <v>45</v>
      </c>
      <c r="U109" t="s">
        <v>29</v>
      </c>
    </row>
    <row r="110" spans="1:21" x14ac:dyDescent="0.25">
      <c r="A110" t="s">
        <v>258</v>
      </c>
      <c r="B110">
        <v>28</v>
      </c>
      <c r="C110" t="s">
        <v>31</v>
      </c>
      <c r="D110" t="s">
        <v>23</v>
      </c>
      <c r="E110">
        <v>169268</v>
      </c>
      <c r="F110">
        <v>0</v>
      </c>
      <c r="G110" t="s">
        <v>259</v>
      </c>
      <c r="H110">
        <v>387369</v>
      </c>
      <c r="I110">
        <v>36</v>
      </c>
      <c r="J110">
        <v>6.2</v>
      </c>
      <c r="K110" t="s">
        <v>44</v>
      </c>
      <c r="L110">
        <v>0</v>
      </c>
      <c r="M110">
        <v>53007.786988511201</v>
      </c>
      <c r="N110">
        <v>1472.44</v>
      </c>
      <c r="O110" t="s">
        <v>26</v>
      </c>
      <c r="P110">
        <v>0</v>
      </c>
      <c r="Q110">
        <v>0</v>
      </c>
      <c r="R110" t="s">
        <v>65</v>
      </c>
      <c r="S110">
        <v>10</v>
      </c>
      <c r="T110" t="s">
        <v>41</v>
      </c>
      <c r="U110" t="s">
        <v>29</v>
      </c>
    </row>
    <row r="111" spans="1:21" x14ac:dyDescent="0.25">
      <c r="A111" t="s">
        <v>260</v>
      </c>
      <c r="B111">
        <v>32</v>
      </c>
      <c r="C111" t="s">
        <v>22</v>
      </c>
      <c r="D111" t="s">
        <v>23</v>
      </c>
      <c r="E111">
        <v>120823</v>
      </c>
      <c r="F111">
        <v>1</v>
      </c>
      <c r="G111" t="s">
        <v>261</v>
      </c>
      <c r="H111">
        <v>1929822</v>
      </c>
      <c r="I111">
        <v>24</v>
      </c>
      <c r="J111">
        <v>12.61</v>
      </c>
      <c r="K111" t="s">
        <v>44</v>
      </c>
      <c r="L111">
        <v>0</v>
      </c>
      <c r="M111">
        <v>279236.25489460002</v>
      </c>
      <c r="N111">
        <v>11634.84</v>
      </c>
      <c r="O111" t="s">
        <v>26</v>
      </c>
      <c r="P111">
        <v>2</v>
      </c>
      <c r="Q111">
        <v>101</v>
      </c>
      <c r="R111" t="s">
        <v>27</v>
      </c>
      <c r="S111">
        <v>7</v>
      </c>
      <c r="T111" t="s">
        <v>28</v>
      </c>
      <c r="U111" t="s">
        <v>29</v>
      </c>
    </row>
    <row r="112" spans="1:21" x14ac:dyDescent="0.25">
      <c r="A112" t="s">
        <v>262</v>
      </c>
      <c r="B112">
        <v>54</v>
      </c>
      <c r="C112" t="s">
        <v>22</v>
      </c>
      <c r="D112" t="s">
        <v>23</v>
      </c>
      <c r="E112">
        <v>28669</v>
      </c>
      <c r="F112">
        <v>3</v>
      </c>
      <c r="G112" t="s">
        <v>263</v>
      </c>
      <c r="H112">
        <v>1445811</v>
      </c>
      <c r="I112">
        <v>12</v>
      </c>
      <c r="J112">
        <v>7.94</v>
      </c>
      <c r="K112" t="s">
        <v>25</v>
      </c>
      <c r="L112">
        <v>1059254.11078262</v>
      </c>
      <c r="M112">
        <v>955922.91998454498</v>
      </c>
      <c r="N112">
        <v>79660.240000000005</v>
      </c>
      <c r="O112" t="s">
        <v>26</v>
      </c>
      <c r="P112">
        <v>2</v>
      </c>
      <c r="Q112">
        <v>50</v>
      </c>
      <c r="R112" t="s">
        <v>34</v>
      </c>
      <c r="S112">
        <v>0</v>
      </c>
      <c r="T112" t="s">
        <v>38</v>
      </c>
      <c r="U112" t="s">
        <v>29</v>
      </c>
    </row>
    <row r="113" spans="1:21" x14ac:dyDescent="0.25">
      <c r="A113" t="s">
        <v>264</v>
      </c>
      <c r="B113">
        <v>53</v>
      </c>
      <c r="C113" t="s">
        <v>22</v>
      </c>
      <c r="D113" t="s">
        <v>23</v>
      </c>
      <c r="E113">
        <v>183452</v>
      </c>
      <c r="F113">
        <v>3</v>
      </c>
      <c r="G113" t="s">
        <v>265</v>
      </c>
      <c r="H113">
        <v>362863</v>
      </c>
      <c r="I113">
        <v>48</v>
      </c>
      <c r="J113">
        <v>16.64</v>
      </c>
      <c r="K113" t="s">
        <v>25</v>
      </c>
      <c r="L113">
        <v>453673.38252490602</v>
      </c>
      <c r="M113">
        <v>56895.369774737002</v>
      </c>
      <c r="N113">
        <v>1185.32</v>
      </c>
      <c r="O113" t="s">
        <v>26</v>
      </c>
      <c r="P113">
        <v>0</v>
      </c>
      <c r="Q113">
        <v>0</v>
      </c>
      <c r="R113" t="s">
        <v>27</v>
      </c>
      <c r="S113">
        <v>9</v>
      </c>
      <c r="T113" t="s">
        <v>41</v>
      </c>
      <c r="U113" t="s">
        <v>29</v>
      </c>
    </row>
    <row r="114" spans="1:21" x14ac:dyDescent="0.25">
      <c r="A114" t="s">
        <v>266</v>
      </c>
      <c r="B114">
        <v>43</v>
      </c>
      <c r="C114" t="s">
        <v>22</v>
      </c>
      <c r="D114" t="s">
        <v>58</v>
      </c>
      <c r="E114">
        <v>139398</v>
      </c>
      <c r="F114">
        <v>3</v>
      </c>
      <c r="G114" t="s">
        <v>267</v>
      </c>
      <c r="H114">
        <v>179887</v>
      </c>
      <c r="I114">
        <v>24</v>
      </c>
      <c r="J114">
        <v>15.19</v>
      </c>
      <c r="K114" t="s">
        <v>25</v>
      </c>
      <c r="L114">
        <v>139323.68197716799</v>
      </c>
      <c r="M114">
        <v>70542.372546208702</v>
      </c>
      <c r="N114">
        <v>2939.27</v>
      </c>
      <c r="O114" t="s">
        <v>37</v>
      </c>
      <c r="P114">
        <v>2</v>
      </c>
      <c r="Q114">
        <v>19</v>
      </c>
      <c r="R114" t="s">
        <v>34</v>
      </c>
      <c r="S114">
        <v>0</v>
      </c>
      <c r="T114" t="s">
        <v>45</v>
      </c>
      <c r="U114" t="s">
        <v>29</v>
      </c>
    </row>
    <row r="115" spans="1:21" x14ac:dyDescent="0.25">
      <c r="A115" t="s">
        <v>268</v>
      </c>
      <c r="B115">
        <v>44</v>
      </c>
      <c r="C115" t="s">
        <v>22</v>
      </c>
      <c r="D115" t="s">
        <v>23</v>
      </c>
      <c r="E115">
        <v>125677</v>
      </c>
      <c r="F115">
        <v>2</v>
      </c>
      <c r="G115" t="s">
        <v>269</v>
      </c>
      <c r="H115">
        <v>346063</v>
      </c>
      <c r="I115">
        <v>60</v>
      </c>
      <c r="J115">
        <v>14.1</v>
      </c>
      <c r="K115" t="s">
        <v>44</v>
      </c>
      <c r="L115">
        <v>0</v>
      </c>
      <c r="M115">
        <v>244140.659381712</v>
      </c>
      <c r="N115">
        <v>4069.01</v>
      </c>
      <c r="O115" t="s">
        <v>37</v>
      </c>
      <c r="P115">
        <v>3</v>
      </c>
      <c r="Q115">
        <v>151</v>
      </c>
      <c r="R115" t="s">
        <v>34</v>
      </c>
      <c r="S115">
        <v>1</v>
      </c>
      <c r="T115" t="s">
        <v>38</v>
      </c>
      <c r="U115" t="s">
        <v>29</v>
      </c>
    </row>
    <row r="116" spans="1:21" x14ac:dyDescent="0.25">
      <c r="A116" t="s">
        <v>270</v>
      </c>
      <c r="B116">
        <v>57</v>
      </c>
      <c r="C116" t="s">
        <v>31</v>
      </c>
      <c r="D116" t="s">
        <v>23</v>
      </c>
      <c r="E116">
        <v>63320</v>
      </c>
      <c r="F116">
        <v>0</v>
      </c>
      <c r="G116" t="s">
        <v>271</v>
      </c>
      <c r="H116">
        <v>1433875</v>
      </c>
      <c r="I116">
        <v>60</v>
      </c>
      <c r="J116">
        <v>13.02</v>
      </c>
      <c r="K116" t="s">
        <v>44</v>
      </c>
      <c r="L116">
        <v>0</v>
      </c>
      <c r="M116">
        <v>578626.21352177905</v>
      </c>
      <c r="N116">
        <v>9643.77</v>
      </c>
      <c r="O116" t="s">
        <v>26</v>
      </c>
      <c r="P116">
        <v>1</v>
      </c>
      <c r="Q116">
        <v>176</v>
      </c>
      <c r="R116" t="s">
        <v>34</v>
      </c>
      <c r="S116">
        <v>2</v>
      </c>
      <c r="T116" t="s">
        <v>45</v>
      </c>
      <c r="U116" t="s">
        <v>29</v>
      </c>
    </row>
    <row r="117" spans="1:21" x14ac:dyDescent="0.25">
      <c r="A117" t="s">
        <v>272</v>
      </c>
      <c r="B117">
        <v>55</v>
      </c>
      <c r="C117" t="s">
        <v>22</v>
      </c>
      <c r="D117" t="s">
        <v>23</v>
      </c>
      <c r="E117">
        <v>193486</v>
      </c>
      <c r="F117">
        <v>3</v>
      </c>
      <c r="G117" t="s">
        <v>273</v>
      </c>
      <c r="H117">
        <v>383713</v>
      </c>
      <c r="I117">
        <v>48</v>
      </c>
      <c r="J117">
        <v>16.23</v>
      </c>
      <c r="K117" t="s">
        <v>33</v>
      </c>
      <c r="L117">
        <v>431548.18756432802</v>
      </c>
      <c r="M117">
        <v>100394.59384215101</v>
      </c>
      <c r="N117">
        <v>2091.5500000000002</v>
      </c>
      <c r="O117" t="s">
        <v>26</v>
      </c>
      <c r="P117">
        <v>3</v>
      </c>
      <c r="Q117">
        <v>160</v>
      </c>
      <c r="R117" t="s">
        <v>27</v>
      </c>
      <c r="S117">
        <v>3</v>
      </c>
      <c r="T117" t="s">
        <v>45</v>
      </c>
      <c r="U117" t="s">
        <v>29</v>
      </c>
    </row>
    <row r="118" spans="1:21" x14ac:dyDescent="0.25">
      <c r="A118" t="s">
        <v>274</v>
      </c>
      <c r="B118">
        <v>64</v>
      </c>
      <c r="C118" t="s">
        <v>22</v>
      </c>
      <c r="D118" t="s">
        <v>49</v>
      </c>
      <c r="E118">
        <v>249614</v>
      </c>
      <c r="F118">
        <v>0</v>
      </c>
      <c r="G118" t="s">
        <v>275</v>
      </c>
      <c r="H118">
        <v>1926336</v>
      </c>
      <c r="I118">
        <v>72</v>
      </c>
      <c r="J118">
        <v>7.9</v>
      </c>
      <c r="K118" t="s">
        <v>25</v>
      </c>
      <c r="L118">
        <v>1119517.56749653</v>
      </c>
      <c r="M118">
        <v>680411.848349498</v>
      </c>
      <c r="N118">
        <v>9450.16</v>
      </c>
      <c r="O118" t="s">
        <v>26</v>
      </c>
      <c r="P118">
        <v>0</v>
      </c>
      <c r="Q118">
        <v>0</v>
      </c>
      <c r="R118" t="s">
        <v>27</v>
      </c>
      <c r="S118">
        <v>1</v>
      </c>
      <c r="T118" t="s">
        <v>41</v>
      </c>
      <c r="U118" t="s">
        <v>29</v>
      </c>
    </row>
    <row r="119" spans="1:21" x14ac:dyDescent="0.25">
      <c r="A119" t="s">
        <v>276</v>
      </c>
      <c r="B119">
        <v>60</v>
      </c>
      <c r="C119" t="s">
        <v>22</v>
      </c>
      <c r="D119" t="s">
        <v>58</v>
      </c>
      <c r="E119">
        <v>161649</v>
      </c>
      <c r="F119">
        <v>2</v>
      </c>
      <c r="G119" t="s">
        <v>277</v>
      </c>
      <c r="H119">
        <v>1300130</v>
      </c>
      <c r="I119">
        <v>48</v>
      </c>
      <c r="J119">
        <v>16.350000000000001</v>
      </c>
      <c r="K119" t="s">
        <v>33</v>
      </c>
      <c r="L119">
        <v>1237987.00915688</v>
      </c>
      <c r="M119">
        <v>665429.67504687898</v>
      </c>
      <c r="N119">
        <v>13863.12</v>
      </c>
      <c r="O119" t="s">
        <v>37</v>
      </c>
      <c r="P119">
        <v>2</v>
      </c>
      <c r="Q119">
        <v>62</v>
      </c>
      <c r="R119" t="s">
        <v>34</v>
      </c>
      <c r="S119">
        <v>3</v>
      </c>
      <c r="T119" t="s">
        <v>45</v>
      </c>
      <c r="U119" t="s">
        <v>29</v>
      </c>
    </row>
    <row r="120" spans="1:21" x14ac:dyDescent="0.25">
      <c r="A120" t="s">
        <v>278</v>
      </c>
      <c r="B120">
        <v>42</v>
      </c>
      <c r="C120" t="s">
        <v>22</v>
      </c>
      <c r="D120" t="s">
        <v>49</v>
      </c>
      <c r="E120">
        <v>140354</v>
      </c>
      <c r="F120">
        <v>3</v>
      </c>
      <c r="G120" t="s">
        <v>279</v>
      </c>
      <c r="H120">
        <v>1909626</v>
      </c>
      <c r="I120">
        <v>48</v>
      </c>
      <c r="J120">
        <v>15.26</v>
      </c>
      <c r="K120" t="s">
        <v>44</v>
      </c>
      <c r="L120">
        <v>0</v>
      </c>
      <c r="M120">
        <v>1007990.87047716</v>
      </c>
      <c r="N120">
        <v>20999.81</v>
      </c>
      <c r="O120" t="s">
        <v>37</v>
      </c>
      <c r="P120">
        <v>1</v>
      </c>
      <c r="Q120">
        <v>26</v>
      </c>
      <c r="R120" t="s">
        <v>34</v>
      </c>
      <c r="S120">
        <v>0</v>
      </c>
      <c r="T120" t="s">
        <v>38</v>
      </c>
      <c r="U120" t="s">
        <v>29</v>
      </c>
    </row>
    <row r="121" spans="1:21" x14ac:dyDescent="0.25">
      <c r="A121" t="s">
        <v>280</v>
      </c>
      <c r="B121">
        <v>47</v>
      </c>
      <c r="C121" t="s">
        <v>22</v>
      </c>
      <c r="D121" t="s">
        <v>49</v>
      </c>
      <c r="E121">
        <v>103009</v>
      </c>
      <c r="F121">
        <v>2</v>
      </c>
      <c r="G121" t="s">
        <v>281</v>
      </c>
      <c r="H121">
        <v>608963</v>
      </c>
      <c r="I121">
        <v>72</v>
      </c>
      <c r="J121">
        <v>14.73</v>
      </c>
      <c r="K121" t="s">
        <v>25</v>
      </c>
      <c r="L121">
        <v>754560.82961109502</v>
      </c>
      <c r="M121">
        <v>490032.65289369802</v>
      </c>
      <c r="N121">
        <v>6806.01</v>
      </c>
      <c r="O121" t="s">
        <v>26</v>
      </c>
      <c r="P121">
        <v>0</v>
      </c>
      <c r="Q121">
        <v>0</v>
      </c>
      <c r="R121" t="s">
        <v>34</v>
      </c>
      <c r="S121">
        <v>0</v>
      </c>
      <c r="T121" t="s">
        <v>45</v>
      </c>
      <c r="U121" t="s">
        <v>29</v>
      </c>
    </row>
    <row r="122" spans="1:21" x14ac:dyDescent="0.25">
      <c r="A122" t="s">
        <v>282</v>
      </c>
      <c r="B122">
        <v>55</v>
      </c>
      <c r="C122" t="s">
        <v>22</v>
      </c>
      <c r="D122" t="s">
        <v>23</v>
      </c>
      <c r="E122">
        <v>201481</v>
      </c>
      <c r="F122">
        <v>2</v>
      </c>
      <c r="G122" t="s">
        <v>283</v>
      </c>
      <c r="H122">
        <v>1593586</v>
      </c>
      <c r="I122">
        <v>24</v>
      </c>
      <c r="J122">
        <v>12.3</v>
      </c>
      <c r="K122" t="s">
        <v>25</v>
      </c>
      <c r="L122">
        <v>1890812.0084385199</v>
      </c>
      <c r="M122">
        <v>1235248.9158491599</v>
      </c>
      <c r="N122">
        <v>51468.7</v>
      </c>
      <c r="O122" t="s">
        <v>26</v>
      </c>
      <c r="P122">
        <v>2</v>
      </c>
      <c r="Q122">
        <v>178</v>
      </c>
      <c r="R122" t="s">
        <v>27</v>
      </c>
      <c r="S122">
        <v>7</v>
      </c>
      <c r="T122" t="s">
        <v>28</v>
      </c>
      <c r="U122" t="s">
        <v>29</v>
      </c>
    </row>
    <row r="123" spans="1:21" x14ac:dyDescent="0.25">
      <c r="A123" t="s">
        <v>284</v>
      </c>
      <c r="B123">
        <v>21</v>
      </c>
      <c r="C123" t="s">
        <v>22</v>
      </c>
      <c r="D123" t="s">
        <v>23</v>
      </c>
      <c r="E123">
        <v>43625</v>
      </c>
      <c r="F123">
        <v>0</v>
      </c>
      <c r="G123" t="s">
        <v>285</v>
      </c>
      <c r="H123">
        <v>855351</v>
      </c>
      <c r="I123">
        <v>72</v>
      </c>
      <c r="J123">
        <v>8.1999999999999993</v>
      </c>
      <c r="K123" t="s">
        <v>44</v>
      </c>
      <c r="L123">
        <v>0</v>
      </c>
      <c r="M123">
        <v>437200.70935040503</v>
      </c>
      <c r="N123">
        <v>6072.23</v>
      </c>
      <c r="O123" t="s">
        <v>26</v>
      </c>
      <c r="P123">
        <v>1</v>
      </c>
      <c r="Q123">
        <v>77</v>
      </c>
      <c r="R123" t="s">
        <v>34</v>
      </c>
      <c r="S123">
        <v>1</v>
      </c>
      <c r="T123" t="s">
        <v>45</v>
      </c>
      <c r="U123" t="s">
        <v>29</v>
      </c>
    </row>
    <row r="124" spans="1:21" x14ac:dyDescent="0.25">
      <c r="A124" t="s">
        <v>286</v>
      </c>
      <c r="B124">
        <v>55</v>
      </c>
      <c r="C124" t="s">
        <v>22</v>
      </c>
      <c r="D124" t="s">
        <v>58</v>
      </c>
      <c r="E124">
        <v>227112</v>
      </c>
      <c r="F124">
        <v>3</v>
      </c>
      <c r="G124" t="s">
        <v>287</v>
      </c>
      <c r="H124">
        <v>840605</v>
      </c>
      <c r="I124">
        <v>12</v>
      </c>
      <c r="J124">
        <v>10.51</v>
      </c>
      <c r="K124" t="s">
        <v>25</v>
      </c>
      <c r="L124">
        <v>1105456.18318859</v>
      </c>
      <c r="M124">
        <v>723845.48179025599</v>
      </c>
      <c r="N124">
        <v>60320.46</v>
      </c>
      <c r="O124" t="s">
        <v>26</v>
      </c>
      <c r="P124">
        <v>1</v>
      </c>
      <c r="Q124">
        <v>175</v>
      </c>
      <c r="R124" t="s">
        <v>34</v>
      </c>
      <c r="S124">
        <v>2</v>
      </c>
      <c r="T124" t="s">
        <v>41</v>
      </c>
      <c r="U124" t="s">
        <v>29</v>
      </c>
    </row>
    <row r="125" spans="1:21" x14ac:dyDescent="0.25">
      <c r="A125" t="s">
        <v>288</v>
      </c>
      <c r="B125">
        <v>57</v>
      </c>
      <c r="C125" t="s">
        <v>22</v>
      </c>
      <c r="D125" t="s">
        <v>49</v>
      </c>
      <c r="E125">
        <v>39089</v>
      </c>
      <c r="F125">
        <v>2</v>
      </c>
      <c r="G125" t="s">
        <v>289</v>
      </c>
      <c r="H125">
        <v>421513</v>
      </c>
      <c r="I125">
        <v>36</v>
      </c>
      <c r="J125">
        <v>15.32</v>
      </c>
      <c r="K125" t="s">
        <v>25</v>
      </c>
      <c r="L125">
        <v>580613.97824088205</v>
      </c>
      <c r="M125">
        <v>85488.4950991675</v>
      </c>
      <c r="N125">
        <v>2374.6799999999998</v>
      </c>
      <c r="O125" t="s">
        <v>26</v>
      </c>
      <c r="P125">
        <v>2</v>
      </c>
      <c r="Q125">
        <v>153</v>
      </c>
      <c r="R125" t="s">
        <v>34</v>
      </c>
      <c r="S125">
        <v>0</v>
      </c>
      <c r="T125" t="s">
        <v>38</v>
      </c>
      <c r="U125" t="s">
        <v>29</v>
      </c>
    </row>
    <row r="126" spans="1:21" x14ac:dyDescent="0.25">
      <c r="A126" t="s">
        <v>290</v>
      </c>
      <c r="B126">
        <v>34</v>
      </c>
      <c r="C126" t="s">
        <v>31</v>
      </c>
      <c r="D126" t="s">
        <v>49</v>
      </c>
      <c r="E126">
        <v>51487</v>
      </c>
      <c r="F126">
        <v>3</v>
      </c>
      <c r="G126" t="s">
        <v>291</v>
      </c>
      <c r="H126">
        <v>862832</v>
      </c>
      <c r="I126">
        <v>12</v>
      </c>
      <c r="J126">
        <v>5.41</v>
      </c>
      <c r="K126" t="s">
        <v>44</v>
      </c>
      <c r="L126">
        <v>0</v>
      </c>
      <c r="M126">
        <v>284577.53769623302</v>
      </c>
      <c r="N126">
        <v>23714.79</v>
      </c>
      <c r="O126" t="s">
        <v>37</v>
      </c>
      <c r="P126">
        <v>1</v>
      </c>
      <c r="Q126">
        <v>30</v>
      </c>
      <c r="R126" t="s">
        <v>34</v>
      </c>
      <c r="S126">
        <v>0</v>
      </c>
      <c r="T126" t="s">
        <v>41</v>
      </c>
      <c r="U126" t="s">
        <v>29</v>
      </c>
    </row>
    <row r="127" spans="1:21" x14ac:dyDescent="0.25">
      <c r="A127" t="s">
        <v>292</v>
      </c>
      <c r="B127">
        <v>23</v>
      </c>
      <c r="C127" t="s">
        <v>22</v>
      </c>
      <c r="D127" t="s">
        <v>49</v>
      </c>
      <c r="E127">
        <v>211910</v>
      </c>
      <c r="F127">
        <v>0</v>
      </c>
      <c r="G127" t="s">
        <v>293</v>
      </c>
      <c r="H127">
        <v>231517</v>
      </c>
      <c r="I127">
        <v>60</v>
      </c>
      <c r="J127">
        <v>15.17</v>
      </c>
      <c r="K127" t="s">
        <v>44</v>
      </c>
      <c r="L127">
        <v>0</v>
      </c>
      <c r="M127">
        <v>195673.264210586</v>
      </c>
      <c r="N127">
        <v>3261.22</v>
      </c>
      <c r="O127" t="s">
        <v>37</v>
      </c>
      <c r="P127">
        <v>0</v>
      </c>
      <c r="Q127">
        <v>0</v>
      </c>
      <c r="R127" t="s">
        <v>34</v>
      </c>
      <c r="S127">
        <v>2</v>
      </c>
      <c r="T127" t="s">
        <v>28</v>
      </c>
      <c r="U127" t="s">
        <v>29</v>
      </c>
    </row>
    <row r="128" spans="1:21" x14ac:dyDescent="0.25">
      <c r="A128" t="s">
        <v>294</v>
      </c>
      <c r="B128">
        <v>21</v>
      </c>
      <c r="C128" t="s">
        <v>22</v>
      </c>
      <c r="D128" t="s">
        <v>49</v>
      </c>
      <c r="E128">
        <v>243071</v>
      </c>
      <c r="F128">
        <v>2</v>
      </c>
      <c r="G128" t="s">
        <v>295</v>
      </c>
      <c r="H128">
        <v>120305</v>
      </c>
      <c r="I128">
        <v>48</v>
      </c>
      <c r="J128">
        <v>8.1199999999999992</v>
      </c>
      <c r="K128" t="s">
        <v>33</v>
      </c>
      <c r="L128">
        <v>153170.341118935</v>
      </c>
      <c r="M128">
        <v>52957.6155352274</v>
      </c>
      <c r="N128">
        <v>1103.28</v>
      </c>
      <c r="O128" t="s">
        <v>26</v>
      </c>
      <c r="P128">
        <v>2</v>
      </c>
      <c r="Q128">
        <v>144</v>
      </c>
      <c r="R128" t="s">
        <v>27</v>
      </c>
      <c r="S128">
        <v>0</v>
      </c>
      <c r="T128" t="s">
        <v>45</v>
      </c>
      <c r="U128" t="s">
        <v>29</v>
      </c>
    </row>
    <row r="129" spans="1:21" x14ac:dyDescent="0.25">
      <c r="A129" t="s">
        <v>296</v>
      </c>
      <c r="B129">
        <v>25</v>
      </c>
      <c r="C129" t="s">
        <v>22</v>
      </c>
      <c r="D129" t="s">
        <v>49</v>
      </c>
      <c r="E129">
        <v>125448</v>
      </c>
      <c r="F129">
        <v>0</v>
      </c>
      <c r="G129" t="s">
        <v>297</v>
      </c>
      <c r="H129">
        <v>742924</v>
      </c>
      <c r="I129">
        <v>60</v>
      </c>
      <c r="J129">
        <v>6.88</v>
      </c>
      <c r="K129" t="s">
        <v>64</v>
      </c>
      <c r="L129">
        <v>870400.65233515901</v>
      </c>
      <c r="M129">
        <v>730341.39554682095</v>
      </c>
      <c r="N129">
        <v>12172.36</v>
      </c>
      <c r="O129" t="s">
        <v>37</v>
      </c>
      <c r="P129">
        <v>3</v>
      </c>
      <c r="Q129">
        <v>10</v>
      </c>
      <c r="R129" t="s">
        <v>34</v>
      </c>
      <c r="S129">
        <v>2</v>
      </c>
      <c r="T129" t="s">
        <v>41</v>
      </c>
      <c r="U129" t="s">
        <v>29</v>
      </c>
    </row>
    <row r="130" spans="1:21" x14ac:dyDescent="0.25">
      <c r="A130" t="s">
        <v>298</v>
      </c>
      <c r="B130">
        <v>46</v>
      </c>
      <c r="C130" t="s">
        <v>31</v>
      </c>
      <c r="D130" t="s">
        <v>58</v>
      </c>
      <c r="E130">
        <v>240867</v>
      </c>
      <c r="F130">
        <v>3</v>
      </c>
      <c r="G130" t="s">
        <v>299</v>
      </c>
      <c r="H130">
        <v>1537606</v>
      </c>
      <c r="I130">
        <v>36</v>
      </c>
      <c r="J130">
        <v>6.5</v>
      </c>
      <c r="K130" t="s">
        <v>44</v>
      </c>
      <c r="L130">
        <v>0</v>
      </c>
      <c r="M130">
        <v>798983.0588772</v>
      </c>
      <c r="N130">
        <v>22193.97</v>
      </c>
      <c r="O130" t="s">
        <v>68</v>
      </c>
      <c r="P130">
        <v>0</v>
      </c>
      <c r="Q130">
        <v>0</v>
      </c>
      <c r="R130" t="s">
        <v>27</v>
      </c>
      <c r="S130">
        <v>5</v>
      </c>
      <c r="T130" t="s">
        <v>41</v>
      </c>
      <c r="U130" t="s">
        <v>29</v>
      </c>
    </row>
    <row r="131" spans="1:21" x14ac:dyDescent="0.25">
      <c r="A131" t="s">
        <v>300</v>
      </c>
      <c r="B131">
        <v>34</v>
      </c>
      <c r="C131" t="s">
        <v>22</v>
      </c>
      <c r="D131" t="s">
        <v>58</v>
      </c>
      <c r="E131">
        <v>65138</v>
      </c>
      <c r="F131">
        <v>3</v>
      </c>
      <c r="G131" t="s">
        <v>301</v>
      </c>
      <c r="H131">
        <v>522963</v>
      </c>
      <c r="I131">
        <v>36</v>
      </c>
      <c r="J131">
        <v>5.35</v>
      </c>
      <c r="K131" t="s">
        <v>44</v>
      </c>
      <c r="L131">
        <v>0</v>
      </c>
      <c r="M131">
        <v>425034.026272799</v>
      </c>
      <c r="N131">
        <v>11806.5</v>
      </c>
      <c r="O131" t="s">
        <v>26</v>
      </c>
      <c r="P131">
        <v>0</v>
      </c>
      <c r="Q131">
        <v>0</v>
      </c>
      <c r="R131" t="s">
        <v>34</v>
      </c>
      <c r="S131">
        <v>2</v>
      </c>
      <c r="T131" t="s">
        <v>41</v>
      </c>
      <c r="U131" t="s">
        <v>29</v>
      </c>
    </row>
    <row r="132" spans="1:21" x14ac:dyDescent="0.25">
      <c r="A132" t="s">
        <v>302</v>
      </c>
      <c r="B132">
        <v>59</v>
      </c>
      <c r="C132" t="s">
        <v>22</v>
      </c>
      <c r="D132" t="s">
        <v>49</v>
      </c>
      <c r="E132">
        <v>188895</v>
      </c>
      <c r="F132">
        <v>0</v>
      </c>
      <c r="G132" t="s">
        <v>303</v>
      </c>
      <c r="H132">
        <v>1711655</v>
      </c>
      <c r="I132">
        <v>12</v>
      </c>
      <c r="J132">
        <v>11.81</v>
      </c>
      <c r="K132" t="s">
        <v>44</v>
      </c>
      <c r="L132">
        <v>0</v>
      </c>
      <c r="M132">
        <v>790915.27302561002</v>
      </c>
      <c r="N132">
        <v>65909.61</v>
      </c>
      <c r="O132" t="s">
        <v>26</v>
      </c>
      <c r="P132">
        <v>2</v>
      </c>
      <c r="Q132">
        <v>88</v>
      </c>
      <c r="R132" t="s">
        <v>34</v>
      </c>
      <c r="S132">
        <v>3</v>
      </c>
      <c r="T132" t="s">
        <v>41</v>
      </c>
      <c r="U132" t="s">
        <v>29</v>
      </c>
    </row>
    <row r="133" spans="1:21" x14ac:dyDescent="0.25">
      <c r="A133" t="s">
        <v>304</v>
      </c>
      <c r="B133">
        <v>47</v>
      </c>
      <c r="C133" t="s">
        <v>31</v>
      </c>
      <c r="D133" t="s">
        <v>49</v>
      </c>
      <c r="E133">
        <v>183280</v>
      </c>
      <c r="F133">
        <v>1</v>
      </c>
      <c r="G133" t="s">
        <v>305</v>
      </c>
      <c r="H133">
        <v>1257610</v>
      </c>
      <c r="I133">
        <v>36</v>
      </c>
      <c r="J133">
        <v>7.84</v>
      </c>
      <c r="K133" t="s">
        <v>25</v>
      </c>
      <c r="L133">
        <v>668699.52293275902</v>
      </c>
      <c r="M133">
        <v>606744.21559729299</v>
      </c>
      <c r="N133">
        <v>16854.009999999998</v>
      </c>
      <c r="O133" t="s">
        <v>68</v>
      </c>
      <c r="P133">
        <v>12</v>
      </c>
      <c r="Q133">
        <v>136</v>
      </c>
      <c r="R133" t="s">
        <v>34</v>
      </c>
      <c r="S133">
        <v>1</v>
      </c>
      <c r="T133" t="s">
        <v>28</v>
      </c>
      <c r="U133" t="s">
        <v>29</v>
      </c>
    </row>
    <row r="134" spans="1:21" x14ac:dyDescent="0.25">
      <c r="A134" t="s">
        <v>306</v>
      </c>
      <c r="B134">
        <v>29</v>
      </c>
      <c r="C134" t="s">
        <v>22</v>
      </c>
      <c r="D134" t="s">
        <v>23</v>
      </c>
      <c r="E134">
        <v>69061</v>
      </c>
      <c r="F134">
        <v>2</v>
      </c>
      <c r="G134" t="s">
        <v>307</v>
      </c>
      <c r="H134">
        <v>528108</v>
      </c>
      <c r="I134">
        <v>72</v>
      </c>
      <c r="J134">
        <v>17.86</v>
      </c>
      <c r="K134" t="s">
        <v>44</v>
      </c>
      <c r="L134">
        <v>0</v>
      </c>
      <c r="M134">
        <v>234794.08783136</v>
      </c>
      <c r="N134">
        <v>3261.03</v>
      </c>
      <c r="O134" t="s">
        <v>26</v>
      </c>
      <c r="P134">
        <v>2</v>
      </c>
      <c r="Q134">
        <v>109</v>
      </c>
      <c r="R134" t="s">
        <v>27</v>
      </c>
      <c r="S134">
        <v>3</v>
      </c>
      <c r="T134" t="s">
        <v>28</v>
      </c>
      <c r="U134" t="s">
        <v>29</v>
      </c>
    </row>
    <row r="135" spans="1:21" x14ac:dyDescent="0.25">
      <c r="A135" t="s">
        <v>308</v>
      </c>
      <c r="B135">
        <v>35</v>
      </c>
      <c r="C135" t="s">
        <v>31</v>
      </c>
      <c r="D135" t="s">
        <v>49</v>
      </c>
      <c r="E135">
        <v>176731</v>
      </c>
      <c r="F135">
        <v>3</v>
      </c>
      <c r="G135" t="s">
        <v>309</v>
      </c>
      <c r="H135">
        <v>1053346</v>
      </c>
      <c r="I135">
        <v>36</v>
      </c>
      <c r="J135">
        <v>12.47</v>
      </c>
      <c r="K135" t="s">
        <v>64</v>
      </c>
      <c r="L135">
        <v>1090178.00556914</v>
      </c>
      <c r="M135">
        <v>787026.48570632294</v>
      </c>
      <c r="N135">
        <v>21861.85</v>
      </c>
      <c r="O135" t="s">
        <v>68</v>
      </c>
      <c r="P135">
        <v>3</v>
      </c>
      <c r="Q135">
        <v>169</v>
      </c>
      <c r="R135" t="s">
        <v>65</v>
      </c>
      <c r="S135">
        <v>8</v>
      </c>
      <c r="T135" t="s">
        <v>45</v>
      </c>
      <c r="U135" t="s">
        <v>79</v>
      </c>
    </row>
    <row r="136" spans="1:21" x14ac:dyDescent="0.25">
      <c r="A136" t="s">
        <v>310</v>
      </c>
      <c r="B136">
        <v>35</v>
      </c>
      <c r="C136" t="s">
        <v>22</v>
      </c>
      <c r="D136" t="s">
        <v>23</v>
      </c>
      <c r="E136">
        <v>116376</v>
      </c>
      <c r="F136">
        <v>3</v>
      </c>
      <c r="G136" t="s">
        <v>311</v>
      </c>
      <c r="H136">
        <v>644821</v>
      </c>
      <c r="I136">
        <v>60</v>
      </c>
      <c r="J136">
        <v>6.79</v>
      </c>
      <c r="K136" t="s">
        <v>44</v>
      </c>
      <c r="L136">
        <v>0</v>
      </c>
      <c r="M136">
        <v>382228.02656570502</v>
      </c>
      <c r="N136">
        <v>6370.47</v>
      </c>
      <c r="O136" t="s">
        <v>68</v>
      </c>
      <c r="P136">
        <v>0</v>
      </c>
      <c r="Q136">
        <v>0</v>
      </c>
      <c r="R136" t="s">
        <v>65</v>
      </c>
      <c r="S136">
        <v>6</v>
      </c>
      <c r="T136" t="s">
        <v>45</v>
      </c>
      <c r="U136" t="s">
        <v>29</v>
      </c>
    </row>
    <row r="137" spans="1:21" x14ac:dyDescent="0.25">
      <c r="A137" t="s">
        <v>312</v>
      </c>
      <c r="B137">
        <v>46</v>
      </c>
      <c r="C137" t="s">
        <v>22</v>
      </c>
      <c r="D137" t="s">
        <v>23</v>
      </c>
      <c r="E137">
        <v>177962</v>
      </c>
      <c r="F137">
        <v>2</v>
      </c>
      <c r="G137" t="s">
        <v>313</v>
      </c>
      <c r="H137">
        <v>237256</v>
      </c>
      <c r="I137">
        <v>60</v>
      </c>
      <c r="J137">
        <v>13.95</v>
      </c>
      <c r="K137" t="s">
        <v>44</v>
      </c>
      <c r="L137">
        <v>0</v>
      </c>
      <c r="M137">
        <v>225250.91763173201</v>
      </c>
      <c r="N137">
        <v>3754.18</v>
      </c>
      <c r="O137" t="s">
        <v>37</v>
      </c>
      <c r="P137">
        <v>1</v>
      </c>
      <c r="Q137">
        <v>94</v>
      </c>
      <c r="R137" t="s">
        <v>34</v>
      </c>
      <c r="S137">
        <v>1</v>
      </c>
      <c r="T137" t="s">
        <v>38</v>
      </c>
      <c r="U137" t="s">
        <v>29</v>
      </c>
    </row>
    <row r="138" spans="1:21" x14ac:dyDescent="0.25">
      <c r="A138" t="s">
        <v>314</v>
      </c>
      <c r="B138">
        <v>62</v>
      </c>
      <c r="C138" t="s">
        <v>22</v>
      </c>
      <c r="D138" t="s">
        <v>58</v>
      </c>
      <c r="E138">
        <v>94134</v>
      </c>
      <c r="F138">
        <v>0</v>
      </c>
      <c r="G138" t="s">
        <v>315</v>
      </c>
      <c r="H138">
        <v>526128</v>
      </c>
      <c r="I138">
        <v>36</v>
      </c>
      <c r="J138">
        <v>16.670000000000002</v>
      </c>
      <c r="K138" t="s">
        <v>25</v>
      </c>
      <c r="L138">
        <v>282897.82861400198</v>
      </c>
      <c r="M138">
        <v>171413.17841170999</v>
      </c>
      <c r="N138">
        <v>4761.4799999999996</v>
      </c>
      <c r="O138" t="s">
        <v>37</v>
      </c>
      <c r="P138">
        <v>0</v>
      </c>
      <c r="Q138">
        <v>0</v>
      </c>
      <c r="R138" t="s">
        <v>34</v>
      </c>
      <c r="S138">
        <v>1</v>
      </c>
      <c r="T138" t="s">
        <v>28</v>
      </c>
      <c r="U138" t="s">
        <v>29</v>
      </c>
    </row>
    <row r="139" spans="1:21" x14ac:dyDescent="0.25">
      <c r="A139" t="s">
        <v>316</v>
      </c>
      <c r="B139">
        <v>33</v>
      </c>
      <c r="C139" t="s">
        <v>31</v>
      </c>
      <c r="D139" t="s">
        <v>23</v>
      </c>
      <c r="E139">
        <v>62055</v>
      </c>
      <c r="F139">
        <v>0</v>
      </c>
      <c r="G139" t="s">
        <v>317</v>
      </c>
      <c r="H139">
        <v>1073920</v>
      </c>
      <c r="I139">
        <v>48</v>
      </c>
      <c r="J139">
        <v>14.69</v>
      </c>
      <c r="K139" t="s">
        <v>33</v>
      </c>
      <c r="L139">
        <v>1404760.19015724</v>
      </c>
      <c r="M139">
        <v>204588.69631514701</v>
      </c>
      <c r="N139">
        <v>4262.26</v>
      </c>
      <c r="O139" t="s">
        <v>37</v>
      </c>
      <c r="P139">
        <v>0</v>
      </c>
      <c r="Q139">
        <v>0</v>
      </c>
      <c r="R139" t="s">
        <v>27</v>
      </c>
      <c r="S139">
        <v>2</v>
      </c>
      <c r="T139" t="s">
        <v>41</v>
      </c>
      <c r="U139" t="s">
        <v>29</v>
      </c>
    </row>
    <row r="140" spans="1:21" x14ac:dyDescent="0.25">
      <c r="A140" t="s">
        <v>318</v>
      </c>
      <c r="B140">
        <v>52</v>
      </c>
      <c r="C140" t="s">
        <v>22</v>
      </c>
      <c r="D140" t="s">
        <v>23</v>
      </c>
      <c r="E140">
        <v>34508</v>
      </c>
      <c r="F140">
        <v>0</v>
      </c>
      <c r="G140" t="s">
        <v>319</v>
      </c>
      <c r="H140">
        <v>940023</v>
      </c>
      <c r="I140">
        <v>12</v>
      </c>
      <c r="J140">
        <v>5.99</v>
      </c>
      <c r="K140" t="s">
        <v>25</v>
      </c>
      <c r="L140">
        <v>771499.92965642305</v>
      </c>
      <c r="M140">
        <v>426709.65690667799</v>
      </c>
      <c r="N140">
        <v>35559.14</v>
      </c>
      <c r="O140" t="s">
        <v>37</v>
      </c>
      <c r="P140">
        <v>3</v>
      </c>
      <c r="Q140">
        <v>17</v>
      </c>
      <c r="R140" t="s">
        <v>27</v>
      </c>
      <c r="S140">
        <v>1</v>
      </c>
      <c r="T140" t="s">
        <v>41</v>
      </c>
      <c r="U140" t="s">
        <v>29</v>
      </c>
    </row>
    <row r="141" spans="1:21" x14ac:dyDescent="0.25">
      <c r="A141" t="s">
        <v>320</v>
      </c>
      <c r="B141">
        <v>59</v>
      </c>
      <c r="C141" t="s">
        <v>31</v>
      </c>
      <c r="D141" t="s">
        <v>23</v>
      </c>
      <c r="E141">
        <v>188359</v>
      </c>
      <c r="F141">
        <v>1</v>
      </c>
      <c r="G141" t="s">
        <v>321</v>
      </c>
      <c r="H141">
        <v>1764514</v>
      </c>
      <c r="I141">
        <v>24</v>
      </c>
      <c r="J141">
        <v>16.649999999999999</v>
      </c>
      <c r="K141" t="s">
        <v>25</v>
      </c>
      <c r="L141">
        <v>1874671.5046423101</v>
      </c>
      <c r="M141">
        <v>1155829.78595858</v>
      </c>
      <c r="N141">
        <v>48159.57</v>
      </c>
      <c r="O141" t="s">
        <v>26</v>
      </c>
      <c r="P141">
        <v>0</v>
      </c>
      <c r="Q141">
        <v>0</v>
      </c>
      <c r="R141" t="s">
        <v>34</v>
      </c>
      <c r="S141">
        <v>3</v>
      </c>
      <c r="T141" t="s">
        <v>38</v>
      </c>
      <c r="U141" t="s">
        <v>29</v>
      </c>
    </row>
    <row r="142" spans="1:21" x14ac:dyDescent="0.25">
      <c r="A142" t="s">
        <v>322</v>
      </c>
      <c r="B142">
        <v>52</v>
      </c>
      <c r="C142" t="s">
        <v>22</v>
      </c>
      <c r="D142" t="s">
        <v>23</v>
      </c>
      <c r="E142">
        <v>224988</v>
      </c>
      <c r="F142">
        <v>1</v>
      </c>
      <c r="G142" t="s">
        <v>323</v>
      </c>
      <c r="H142">
        <v>1753924</v>
      </c>
      <c r="I142">
        <v>12</v>
      </c>
      <c r="J142">
        <v>15.32</v>
      </c>
      <c r="K142" t="s">
        <v>64</v>
      </c>
      <c r="L142">
        <v>1367087.8311940001</v>
      </c>
      <c r="M142">
        <v>1534190.72316752</v>
      </c>
      <c r="N142">
        <v>127849.23</v>
      </c>
      <c r="O142" t="s">
        <v>26</v>
      </c>
      <c r="P142">
        <v>1</v>
      </c>
      <c r="Q142">
        <v>129</v>
      </c>
      <c r="R142" t="s">
        <v>27</v>
      </c>
      <c r="S142">
        <v>9</v>
      </c>
      <c r="T142" t="s">
        <v>41</v>
      </c>
      <c r="U142" t="s">
        <v>29</v>
      </c>
    </row>
    <row r="143" spans="1:21" x14ac:dyDescent="0.25">
      <c r="A143" t="s">
        <v>324</v>
      </c>
      <c r="B143">
        <v>24</v>
      </c>
      <c r="C143" t="s">
        <v>31</v>
      </c>
      <c r="D143" t="s">
        <v>49</v>
      </c>
      <c r="E143">
        <v>173056</v>
      </c>
      <c r="F143">
        <v>3</v>
      </c>
      <c r="G143" t="s">
        <v>325</v>
      </c>
      <c r="H143">
        <v>1772560</v>
      </c>
      <c r="I143">
        <v>48</v>
      </c>
      <c r="J143">
        <v>7.06</v>
      </c>
      <c r="K143" t="s">
        <v>44</v>
      </c>
      <c r="L143">
        <v>0</v>
      </c>
      <c r="M143">
        <v>729545.27810867305</v>
      </c>
      <c r="N143">
        <v>15198.86</v>
      </c>
      <c r="O143" t="s">
        <v>26</v>
      </c>
      <c r="P143">
        <v>1</v>
      </c>
      <c r="Q143">
        <v>165</v>
      </c>
      <c r="R143" t="s">
        <v>34</v>
      </c>
      <c r="S143">
        <v>1</v>
      </c>
      <c r="T143" t="s">
        <v>38</v>
      </c>
      <c r="U143" t="s">
        <v>29</v>
      </c>
    </row>
    <row r="144" spans="1:21" x14ac:dyDescent="0.25">
      <c r="A144" t="s">
        <v>326</v>
      </c>
      <c r="B144">
        <v>50</v>
      </c>
      <c r="C144" t="s">
        <v>22</v>
      </c>
      <c r="D144" t="s">
        <v>23</v>
      </c>
      <c r="E144">
        <v>125169</v>
      </c>
      <c r="F144">
        <v>0</v>
      </c>
      <c r="G144" t="s">
        <v>327</v>
      </c>
      <c r="H144">
        <v>1083668</v>
      </c>
      <c r="I144">
        <v>36</v>
      </c>
      <c r="J144">
        <v>5.67</v>
      </c>
      <c r="K144" t="s">
        <v>33</v>
      </c>
      <c r="L144">
        <v>1389804.3664603001</v>
      </c>
      <c r="M144">
        <v>746005.80291578895</v>
      </c>
      <c r="N144">
        <v>20722.38</v>
      </c>
      <c r="O144" t="s">
        <v>37</v>
      </c>
      <c r="P144">
        <v>3</v>
      </c>
      <c r="Q144">
        <v>87</v>
      </c>
      <c r="R144" t="s">
        <v>34</v>
      </c>
      <c r="S144">
        <v>3</v>
      </c>
      <c r="T144" t="s">
        <v>45</v>
      </c>
      <c r="U144" t="s">
        <v>29</v>
      </c>
    </row>
    <row r="145" spans="1:21" x14ac:dyDescent="0.25">
      <c r="A145" t="s">
        <v>328</v>
      </c>
      <c r="B145">
        <v>57</v>
      </c>
      <c r="C145" t="s">
        <v>31</v>
      </c>
      <c r="D145" t="s">
        <v>23</v>
      </c>
      <c r="E145">
        <v>23125</v>
      </c>
      <c r="F145">
        <v>2</v>
      </c>
      <c r="G145" t="s">
        <v>329</v>
      </c>
      <c r="H145">
        <v>875626</v>
      </c>
      <c r="I145">
        <v>48</v>
      </c>
      <c r="J145">
        <v>12.25</v>
      </c>
      <c r="K145" t="s">
        <v>44</v>
      </c>
      <c r="L145">
        <v>0</v>
      </c>
      <c r="M145">
        <v>363541.36324267398</v>
      </c>
      <c r="N145">
        <v>7573.78</v>
      </c>
      <c r="O145" t="s">
        <v>26</v>
      </c>
      <c r="P145">
        <v>1</v>
      </c>
      <c r="Q145">
        <v>3</v>
      </c>
      <c r="R145" t="s">
        <v>34</v>
      </c>
      <c r="S145">
        <v>1</v>
      </c>
      <c r="T145" t="s">
        <v>28</v>
      </c>
      <c r="U145" t="s">
        <v>29</v>
      </c>
    </row>
    <row r="146" spans="1:21" x14ac:dyDescent="0.25">
      <c r="A146" t="s">
        <v>330</v>
      </c>
      <c r="B146">
        <v>43</v>
      </c>
      <c r="C146" t="s">
        <v>22</v>
      </c>
      <c r="D146" t="s">
        <v>23</v>
      </c>
      <c r="E146">
        <v>51059</v>
      </c>
      <c r="F146">
        <v>3</v>
      </c>
      <c r="G146" t="s">
        <v>331</v>
      </c>
      <c r="H146">
        <v>1470623</v>
      </c>
      <c r="I146">
        <v>48</v>
      </c>
      <c r="J146">
        <v>7.03</v>
      </c>
      <c r="K146" t="s">
        <v>33</v>
      </c>
      <c r="L146">
        <v>2039022.5052376899</v>
      </c>
      <c r="M146">
        <v>963989.88332185301</v>
      </c>
      <c r="N146">
        <v>20083.12</v>
      </c>
      <c r="O146" t="s">
        <v>26</v>
      </c>
      <c r="P146">
        <v>2</v>
      </c>
      <c r="Q146">
        <v>107</v>
      </c>
      <c r="R146" t="s">
        <v>34</v>
      </c>
      <c r="S146">
        <v>1</v>
      </c>
      <c r="T146" t="s">
        <v>38</v>
      </c>
      <c r="U146" t="s">
        <v>29</v>
      </c>
    </row>
    <row r="147" spans="1:21" x14ac:dyDescent="0.25">
      <c r="A147" t="s">
        <v>332</v>
      </c>
      <c r="B147">
        <v>59</v>
      </c>
      <c r="C147" t="s">
        <v>22</v>
      </c>
      <c r="D147" t="s">
        <v>49</v>
      </c>
      <c r="E147">
        <v>215641</v>
      </c>
      <c r="F147">
        <v>2</v>
      </c>
      <c r="G147" t="s">
        <v>333</v>
      </c>
      <c r="H147">
        <v>1492181</v>
      </c>
      <c r="I147">
        <v>36</v>
      </c>
      <c r="J147">
        <v>15.85</v>
      </c>
      <c r="K147" t="s">
        <v>25</v>
      </c>
      <c r="L147">
        <v>1340937.2556573399</v>
      </c>
      <c r="M147">
        <v>1337482.34648733</v>
      </c>
      <c r="N147">
        <v>37152.29</v>
      </c>
      <c r="O147" t="s">
        <v>26</v>
      </c>
      <c r="P147">
        <v>3</v>
      </c>
      <c r="Q147">
        <v>125</v>
      </c>
      <c r="R147" t="s">
        <v>34</v>
      </c>
      <c r="S147">
        <v>3</v>
      </c>
      <c r="T147" t="s">
        <v>41</v>
      </c>
      <c r="U147" t="s">
        <v>29</v>
      </c>
    </row>
    <row r="148" spans="1:21" x14ac:dyDescent="0.25">
      <c r="A148" t="s">
        <v>334</v>
      </c>
      <c r="B148">
        <v>35</v>
      </c>
      <c r="C148" t="s">
        <v>22</v>
      </c>
      <c r="D148" t="s">
        <v>49</v>
      </c>
      <c r="E148">
        <v>118409</v>
      </c>
      <c r="F148">
        <v>3</v>
      </c>
      <c r="G148" t="s">
        <v>335</v>
      </c>
      <c r="H148">
        <v>1460023</v>
      </c>
      <c r="I148">
        <v>60</v>
      </c>
      <c r="J148">
        <v>9.66</v>
      </c>
      <c r="K148" t="s">
        <v>44</v>
      </c>
      <c r="L148">
        <v>0</v>
      </c>
      <c r="M148">
        <v>450011.031032058</v>
      </c>
      <c r="N148">
        <v>7500.18</v>
      </c>
      <c r="O148" t="s">
        <v>37</v>
      </c>
      <c r="P148">
        <v>1</v>
      </c>
      <c r="Q148">
        <v>27</v>
      </c>
      <c r="R148" t="s">
        <v>34</v>
      </c>
      <c r="S148">
        <v>2</v>
      </c>
      <c r="T148" t="s">
        <v>38</v>
      </c>
      <c r="U148" t="s">
        <v>29</v>
      </c>
    </row>
    <row r="149" spans="1:21" x14ac:dyDescent="0.25">
      <c r="A149" t="s">
        <v>336</v>
      </c>
      <c r="B149">
        <v>63</v>
      </c>
      <c r="C149" t="s">
        <v>22</v>
      </c>
      <c r="D149" t="s">
        <v>23</v>
      </c>
      <c r="E149">
        <v>163159</v>
      </c>
      <c r="F149">
        <v>1</v>
      </c>
      <c r="G149" t="s">
        <v>337</v>
      </c>
      <c r="H149">
        <v>292188</v>
      </c>
      <c r="I149">
        <v>60</v>
      </c>
      <c r="J149">
        <v>16.87</v>
      </c>
      <c r="K149" t="s">
        <v>33</v>
      </c>
      <c r="L149">
        <v>398229.56831518898</v>
      </c>
      <c r="M149">
        <v>135521.90123157401</v>
      </c>
      <c r="N149">
        <v>2258.6999999999998</v>
      </c>
      <c r="O149" t="s">
        <v>68</v>
      </c>
      <c r="P149">
        <v>8</v>
      </c>
      <c r="Q149">
        <v>110</v>
      </c>
      <c r="R149" t="s">
        <v>34</v>
      </c>
      <c r="S149">
        <v>3</v>
      </c>
      <c r="T149" t="s">
        <v>45</v>
      </c>
      <c r="U149" t="s">
        <v>29</v>
      </c>
    </row>
    <row r="150" spans="1:21" x14ac:dyDescent="0.25">
      <c r="A150" t="s">
        <v>338</v>
      </c>
      <c r="B150">
        <v>49</v>
      </c>
      <c r="C150" t="s">
        <v>22</v>
      </c>
      <c r="D150" t="s">
        <v>23</v>
      </c>
      <c r="E150">
        <v>20704</v>
      </c>
      <c r="F150">
        <v>3</v>
      </c>
      <c r="G150" t="s">
        <v>339</v>
      </c>
      <c r="H150">
        <v>426047</v>
      </c>
      <c r="I150">
        <v>12</v>
      </c>
      <c r="J150">
        <v>12.35</v>
      </c>
      <c r="K150" t="s">
        <v>44</v>
      </c>
      <c r="L150">
        <v>0</v>
      </c>
      <c r="M150">
        <v>423464.591428974</v>
      </c>
      <c r="N150">
        <v>35288.720000000001</v>
      </c>
      <c r="O150" t="s">
        <v>68</v>
      </c>
      <c r="P150">
        <v>12</v>
      </c>
      <c r="Q150">
        <v>92</v>
      </c>
      <c r="R150" t="s">
        <v>34</v>
      </c>
      <c r="S150">
        <v>2</v>
      </c>
      <c r="T150" t="s">
        <v>41</v>
      </c>
      <c r="U150" t="s">
        <v>29</v>
      </c>
    </row>
    <row r="151" spans="1:21" x14ac:dyDescent="0.25">
      <c r="A151" t="s">
        <v>340</v>
      </c>
      <c r="B151">
        <v>56</v>
      </c>
      <c r="C151" t="s">
        <v>22</v>
      </c>
      <c r="D151" t="s">
        <v>23</v>
      </c>
      <c r="E151">
        <v>206648</v>
      </c>
      <c r="F151">
        <v>1</v>
      </c>
      <c r="G151" t="s">
        <v>341</v>
      </c>
      <c r="H151">
        <v>903823</v>
      </c>
      <c r="I151">
        <v>24</v>
      </c>
      <c r="J151">
        <v>7.37</v>
      </c>
      <c r="K151" t="s">
        <v>44</v>
      </c>
      <c r="L151">
        <v>0</v>
      </c>
      <c r="M151">
        <v>796901.93704916094</v>
      </c>
      <c r="N151">
        <v>33204.25</v>
      </c>
      <c r="O151" t="s">
        <v>26</v>
      </c>
      <c r="P151">
        <v>1</v>
      </c>
      <c r="Q151">
        <v>162</v>
      </c>
      <c r="R151" t="s">
        <v>34</v>
      </c>
      <c r="S151">
        <v>0</v>
      </c>
      <c r="T151" t="s">
        <v>45</v>
      </c>
      <c r="U151" t="s">
        <v>29</v>
      </c>
    </row>
    <row r="152" spans="1:21" x14ac:dyDescent="0.25">
      <c r="A152" t="s">
        <v>342</v>
      </c>
      <c r="B152">
        <v>33</v>
      </c>
      <c r="C152" t="s">
        <v>31</v>
      </c>
      <c r="D152" t="s">
        <v>49</v>
      </c>
      <c r="E152">
        <v>219456</v>
      </c>
      <c r="F152">
        <v>3</v>
      </c>
      <c r="G152" t="s">
        <v>343</v>
      </c>
      <c r="H152">
        <v>287501</v>
      </c>
      <c r="I152">
        <v>60</v>
      </c>
      <c r="J152">
        <v>6.81</v>
      </c>
      <c r="K152" t="s">
        <v>25</v>
      </c>
      <c r="L152">
        <v>220534.831718703</v>
      </c>
      <c r="M152">
        <v>174851.17140651401</v>
      </c>
      <c r="N152">
        <v>2914.19</v>
      </c>
      <c r="O152" t="s">
        <v>37</v>
      </c>
      <c r="P152">
        <v>2</v>
      </c>
      <c r="Q152">
        <v>117</v>
      </c>
      <c r="R152" t="s">
        <v>27</v>
      </c>
      <c r="S152">
        <v>7</v>
      </c>
      <c r="T152" t="s">
        <v>45</v>
      </c>
      <c r="U152" t="s">
        <v>29</v>
      </c>
    </row>
    <row r="153" spans="1:21" x14ac:dyDescent="0.25">
      <c r="A153" t="s">
        <v>344</v>
      </c>
      <c r="B153">
        <v>52</v>
      </c>
      <c r="C153" t="s">
        <v>22</v>
      </c>
      <c r="D153" t="s">
        <v>49</v>
      </c>
      <c r="E153">
        <v>233200</v>
      </c>
      <c r="F153">
        <v>0</v>
      </c>
      <c r="G153" t="s">
        <v>345</v>
      </c>
      <c r="H153">
        <v>1418722</v>
      </c>
      <c r="I153">
        <v>36</v>
      </c>
      <c r="J153">
        <v>12.49</v>
      </c>
      <c r="K153" t="s">
        <v>44</v>
      </c>
      <c r="L153">
        <v>0</v>
      </c>
      <c r="M153">
        <v>801528.03733361303</v>
      </c>
      <c r="N153">
        <v>22264.67</v>
      </c>
      <c r="O153" t="s">
        <v>37</v>
      </c>
      <c r="P153">
        <v>3</v>
      </c>
      <c r="Q153">
        <v>39</v>
      </c>
      <c r="R153" t="s">
        <v>34</v>
      </c>
      <c r="S153">
        <v>2</v>
      </c>
      <c r="T153" t="s">
        <v>38</v>
      </c>
      <c r="U153" t="s">
        <v>29</v>
      </c>
    </row>
    <row r="154" spans="1:21" x14ac:dyDescent="0.25">
      <c r="A154" t="s">
        <v>346</v>
      </c>
      <c r="B154">
        <v>27</v>
      </c>
      <c r="C154" t="s">
        <v>31</v>
      </c>
      <c r="D154" t="s">
        <v>23</v>
      </c>
      <c r="E154">
        <v>126279</v>
      </c>
      <c r="F154">
        <v>2</v>
      </c>
      <c r="G154" t="s">
        <v>347</v>
      </c>
      <c r="H154">
        <v>347675</v>
      </c>
      <c r="I154">
        <v>60</v>
      </c>
      <c r="J154">
        <v>14.9</v>
      </c>
      <c r="K154" t="s">
        <v>25</v>
      </c>
      <c r="L154">
        <v>359725.736430283</v>
      </c>
      <c r="M154">
        <v>123821.094126002</v>
      </c>
      <c r="N154">
        <v>2063.6799999999998</v>
      </c>
      <c r="O154" t="s">
        <v>26</v>
      </c>
      <c r="P154">
        <v>2</v>
      </c>
      <c r="Q154">
        <v>111</v>
      </c>
      <c r="R154" t="s">
        <v>34</v>
      </c>
      <c r="S154">
        <v>1</v>
      </c>
      <c r="T154" t="s">
        <v>45</v>
      </c>
      <c r="U154" t="s">
        <v>29</v>
      </c>
    </row>
    <row r="155" spans="1:21" x14ac:dyDescent="0.25">
      <c r="A155" t="s">
        <v>348</v>
      </c>
      <c r="B155">
        <v>42</v>
      </c>
      <c r="C155" t="s">
        <v>31</v>
      </c>
      <c r="D155" t="s">
        <v>23</v>
      </c>
      <c r="E155">
        <v>218532</v>
      </c>
      <c r="F155">
        <v>0</v>
      </c>
      <c r="G155" t="s">
        <v>349</v>
      </c>
      <c r="H155">
        <v>758175</v>
      </c>
      <c r="I155">
        <v>36</v>
      </c>
      <c r="J155">
        <v>15.16</v>
      </c>
      <c r="K155" t="s">
        <v>44</v>
      </c>
      <c r="L155">
        <v>0</v>
      </c>
      <c r="M155">
        <v>428739.232057388</v>
      </c>
      <c r="N155">
        <v>11909.42</v>
      </c>
      <c r="O155" t="s">
        <v>26</v>
      </c>
      <c r="P155">
        <v>3</v>
      </c>
      <c r="Q155">
        <v>45</v>
      </c>
      <c r="R155" t="s">
        <v>34</v>
      </c>
      <c r="S155">
        <v>0</v>
      </c>
      <c r="T155" t="s">
        <v>41</v>
      </c>
      <c r="U155" t="s">
        <v>29</v>
      </c>
    </row>
    <row r="156" spans="1:21" x14ac:dyDescent="0.25">
      <c r="A156" t="s">
        <v>350</v>
      </c>
      <c r="B156">
        <v>48</v>
      </c>
      <c r="C156" t="s">
        <v>22</v>
      </c>
      <c r="D156" t="s">
        <v>23</v>
      </c>
      <c r="E156">
        <v>173280</v>
      </c>
      <c r="F156">
        <v>3</v>
      </c>
      <c r="G156" t="s">
        <v>351</v>
      </c>
      <c r="H156">
        <v>1627850</v>
      </c>
      <c r="I156">
        <v>36</v>
      </c>
      <c r="J156">
        <v>8.58</v>
      </c>
      <c r="K156" t="s">
        <v>44</v>
      </c>
      <c r="L156">
        <v>0</v>
      </c>
      <c r="M156">
        <v>1405426.0267775101</v>
      </c>
      <c r="N156">
        <v>39039.61</v>
      </c>
      <c r="O156" t="s">
        <v>26</v>
      </c>
      <c r="P156">
        <v>3</v>
      </c>
      <c r="Q156">
        <v>133</v>
      </c>
      <c r="R156" t="s">
        <v>65</v>
      </c>
      <c r="S156">
        <v>7</v>
      </c>
      <c r="T156" t="s">
        <v>45</v>
      </c>
      <c r="U156" t="s">
        <v>29</v>
      </c>
    </row>
    <row r="157" spans="1:21" x14ac:dyDescent="0.25">
      <c r="A157" t="s">
        <v>352</v>
      </c>
      <c r="B157">
        <v>22</v>
      </c>
      <c r="C157" t="s">
        <v>31</v>
      </c>
      <c r="D157" t="s">
        <v>49</v>
      </c>
      <c r="E157">
        <v>133516</v>
      </c>
      <c r="F157">
        <v>3</v>
      </c>
      <c r="G157" t="s">
        <v>353</v>
      </c>
      <c r="H157">
        <v>1917306</v>
      </c>
      <c r="I157">
        <v>24</v>
      </c>
      <c r="J157">
        <v>7.66</v>
      </c>
      <c r="K157" t="s">
        <v>44</v>
      </c>
      <c r="L157">
        <v>0</v>
      </c>
      <c r="M157">
        <v>1374050.8848191099</v>
      </c>
      <c r="N157">
        <v>57252.12</v>
      </c>
      <c r="O157" t="s">
        <v>68</v>
      </c>
      <c r="P157">
        <v>1</v>
      </c>
      <c r="Q157">
        <v>166</v>
      </c>
      <c r="R157" t="s">
        <v>34</v>
      </c>
      <c r="S157">
        <v>2</v>
      </c>
      <c r="T157" t="s">
        <v>45</v>
      </c>
      <c r="U157" t="s">
        <v>29</v>
      </c>
    </row>
    <row r="158" spans="1:21" x14ac:dyDescent="0.25">
      <c r="A158" t="s">
        <v>354</v>
      </c>
      <c r="B158">
        <v>62</v>
      </c>
      <c r="C158" t="s">
        <v>31</v>
      </c>
      <c r="D158" t="s">
        <v>23</v>
      </c>
      <c r="E158">
        <v>231222</v>
      </c>
      <c r="F158">
        <v>3</v>
      </c>
      <c r="G158" t="s">
        <v>355</v>
      </c>
      <c r="H158">
        <v>313625</v>
      </c>
      <c r="I158">
        <v>36</v>
      </c>
      <c r="J158">
        <v>5.22</v>
      </c>
      <c r="K158" t="s">
        <v>44</v>
      </c>
      <c r="L158">
        <v>0</v>
      </c>
      <c r="M158">
        <v>113231.052503589</v>
      </c>
      <c r="N158">
        <v>3145.31</v>
      </c>
      <c r="O158" t="s">
        <v>26</v>
      </c>
      <c r="P158">
        <v>1</v>
      </c>
      <c r="Q158">
        <v>69</v>
      </c>
      <c r="R158" t="s">
        <v>34</v>
      </c>
      <c r="S158">
        <v>2</v>
      </c>
      <c r="T158" t="s">
        <v>38</v>
      </c>
      <c r="U158" t="s">
        <v>29</v>
      </c>
    </row>
    <row r="159" spans="1:21" x14ac:dyDescent="0.25">
      <c r="A159" t="s">
        <v>356</v>
      </c>
      <c r="B159">
        <v>26</v>
      </c>
      <c r="C159" t="s">
        <v>22</v>
      </c>
      <c r="D159" t="s">
        <v>23</v>
      </c>
      <c r="E159">
        <v>212096</v>
      </c>
      <c r="F159">
        <v>1</v>
      </c>
      <c r="G159" t="s">
        <v>357</v>
      </c>
      <c r="H159">
        <v>892840</v>
      </c>
      <c r="I159">
        <v>48</v>
      </c>
      <c r="J159">
        <v>13.83</v>
      </c>
      <c r="K159" t="s">
        <v>25</v>
      </c>
      <c r="L159">
        <v>1213156.5550171901</v>
      </c>
      <c r="M159">
        <v>251171.542546093</v>
      </c>
      <c r="N159">
        <v>5232.74</v>
      </c>
      <c r="O159" t="s">
        <v>26</v>
      </c>
      <c r="P159">
        <v>1</v>
      </c>
      <c r="Q159">
        <v>157</v>
      </c>
      <c r="R159" t="s">
        <v>34</v>
      </c>
      <c r="S159">
        <v>3</v>
      </c>
      <c r="T159" t="s">
        <v>45</v>
      </c>
      <c r="U159" t="s">
        <v>29</v>
      </c>
    </row>
    <row r="160" spans="1:21" x14ac:dyDescent="0.25">
      <c r="A160" t="s">
        <v>358</v>
      </c>
      <c r="B160">
        <v>48</v>
      </c>
      <c r="C160" t="s">
        <v>22</v>
      </c>
      <c r="D160" t="s">
        <v>23</v>
      </c>
      <c r="E160">
        <v>185954</v>
      </c>
      <c r="F160">
        <v>2</v>
      </c>
      <c r="G160" t="s">
        <v>359</v>
      </c>
      <c r="H160">
        <v>250339</v>
      </c>
      <c r="I160">
        <v>36</v>
      </c>
      <c r="J160">
        <v>6</v>
      </c>
      <c r="K160" t="s">
        <v>33</v>
      </c>
      <c r="L160">
        <v>206750.30942909399</v>
      </c>
      <c r="M160">
        <v>84786.735948924295</v>
      </c>
      <c r="N160">
        <v>2355.19</v>
      </c>
      <c r="O160" t="s">
        <v>37</v>
      </c>
      <c r="P160">
        <v>0</v>
      </c>
      <c r="Q160">
        <v>0</v>
      </c>
      <c r="R160" t="s">
        <v>27</v>
      </c>
      <c r="S160">
        <v>4</v>
      </c>
      <c r="T160" t="s">
        <v>28</v>
      </c>
      <c r="U160" t="s">
        <v>29</v>
      </c>
    </row>
    <row r="161" spans="1:21" x14ac:dyDescent="0.25">
      <c r="A161" t="s">
        <v>360</v>
      </c>
      <c r="B161">
        <v>48</v>
      </c>
      <c r="C161" t="s">
        <v>22</v>
      </c>
      <c r="D161" t="s">
        <v>23</v>
      </c>
      <c r="E161">
        <v>171995</v>
      </c>
      <c r="F161">
        <v>2</v>
      </c>
      <c r="G161" t="s">
        <v>361</v>
      </c>
      <c r="H161">
        <v>1744814</v>
      </c>
      <c r="I161">
        <v>60</v>
      </c>
      <c r="J161">
        <v>10.47</v>
      </c>
      <c r="K161" t="s">
        <v>64</v>
      </c>
      <c r="L161">
        <v>2537033.30069996</v>
      </c>
      <c r="M161">
        <v>441059.80809712101</v>
      </c>
      <c r="N161">
        <v>7351</v>
      </c>
      <c r="O161" t="s">
        <v>26</v>
      </c>
      <c r="P161">
        <v>2</v>
      </c>
      <c r="Q161">
        <v>137</v>
      </c>
      <c r="R161" t="s">
        <v>34</v>
      </c>
      <c r="S161">
        <v>3</v>
      </c>
      <c r="T161" t="s">
        <v>38</v>
      </c>
      <c r="U161" t="s">
        <v>29</v>
      </c>
    </row>
    <row r="162" spans="1:21" x14ac:dyDescent="0.25">
      <c r="A162" t="s">
        <v>362</v>
      </c>
      <c r="B162">
        <v>64</v>
      </c>
      <c r="C162" t="s">
        <v>22</v>
      </c>
      <c r="D162" t="s">
        <v>49</v>
      </c>
      <c r="E162">
        <v>129044</v>
      </c>
      <c r="F162">
        <v>3</v>
      </c>
      <c r="G162" t="s">
        <v>363</v>
      </c>
      <c r="H162">
        <v>984339</v>
      </c>
      <c r="I162">
        <v>72</v>
      </c>
      <c r="J162">
        <v>12.82</v>
      </c>
      <c r="K162" t="s">
        <v>33</v>
      </c>
      <c r="L162">
        <v>612140.24690398504</v>
      </c>
      <c r="M162">
        <v>183162.48037496</v>
      </c>
      <c r="N162">
        <v>2543.92</v>
      </c>
      <c r="O162" t="s">
        <v>26</v>
      </c>
      <c r="P162">
        <v>0</v>
      </c>
      <c r="Q162">
        <v>0</v>
      </c>
      <c r="R162" t="s">
        <v>34</v>
      </c>
      <c r="S162">
        <v>2</v>
      </c>
      <c r="T162" t="s">
        <v>38</v>
      </c>
      <c r="U162" t="s">
        <v>29</v>
      </c>
    </row>
    <row r="163" spans="1:21" x14ac:dyDescent="0.25">
      <c r="A163" t="s">
        <v>364</v>
      </c>
      <c r="B163">
        <v>64</v>
      </c>
      <c r="C163" t="s">
        <v>22</v>
      </c>
      <c r="D163" t="s">
        <v>23</v>
      </c>
      <c r="E163">
        <v>247549</v>
      </c>
      <c r="F163">
        <v>3</v>
      </c>
      <c r="G163" t="s">
        <v>365</v>
      </c>
      <c r="H163">
        <v>175355</v>
      </c>
      <c r="I163">
        <v>48</v>
      </c>
      <c r="J163">
        <v>17.18</v>
      </c>
      <c r="K163" t="s">
        <v>44</v>
      </c>
      <c r="L163">
        <v>0</v>
      </c>
      <c r="M163">
        <v>83683.361482357897</v>
      </c>
      <c r="N163">
        <v>1743.4</v>
      </c>
      <c r="O163" t="s">
        <v>37</v>
      </c>
      <c r="P163">
        <v>1</v>
      </c>
      <c r="Q163">
        <v>123</v>
      </c>
      <c r="R163" t="s">
        <v>34</v>
      </c>
      <c r="S163">
        <v>1</v>
      </c>
      <c r="T163" t="s">
        <v>41</v>
      </c>
      <c r="U163" t="s">
        <v>29</v>
      </c>
    </row>
    <row r="164" spans="1:21" x14ac:dyDescent="0.25">
      <c r="A164" t="s">
        <v>366</v>
      </c>
      <c r="B164">
        <v>40</v>
      </c>
      <c r="C164" t="s">
        <v>22</v>
      </c>
      <c r="D164" t="s">
        <v>49</v>
      </c>
      <c r="E164">
        <v>44165</v>
      </c>
      <c r="F164">
        <v>1</v>
      </c>
      <c r="G164" t="s">
        <v>367</v>
      </c>
      <c r="H164">
        <v>77798</v>
      </c>
      <c r="I164">
        <v>60</v>
      </c>
      <c r="J164">
        <v>9.0500000000000007</v>
      </c>
      <c r="K164" t="s">
        <v>25</v>
      </c>
      <c r="L164">
        <v>40320.763874349301</v>
      </c>
      <c r="M164">
        <v>15712.8343606788</v>
      </c>
      <c r="N164">
        <v>261.88</v>
      </c>
      <c r="O164" t="s">
        <v>26</v>
      </c>
      <c r="P164">
        <v>1</v>
      </c>
      <c r="Q164">
        <v>119</v>
      </c>
      <c r="R164" t="s">
        <v>34</v>
      </c>
      <c r="S164">
        <v>3</v>
      </c>
      <c r="T164" t="s">
        <v>41</v>
      </c>
      <c r="U164" t="s">
        <v>29</v>
      </c>
    </row>
    <row r="165" spans="1:21" x14ac:dyDescent="0.25">
      <c r="A165" t="s">
        <v>368</v>
      </c>
      <c r="B165">
        <v>50</v>
      </c>
      <c r="C165" t="s">
        <v>31</v>
      </c>
      <c r="D165" t="s">
        <v>49</v>
      </c>
      <c r="E165">
        <v>82203</v>
      </c>
      <c r="F165">
        <v>0</v>
      </c>
      <c r="G165" t="s">
        <v>369</v>
      </c>
      <c r="H165">
        <v>665937</v>
      </c>
      <c r="I165">
        <v>36</v>
      </c>
      <c r="J165">
        <v>8.25</v>
      </c>
      <c r="K165" t="s">
        <v>44</v>
      </c>
      <c r="L165">
        <v>0</v>
      </c>
      <c r="M165">
        <v>169628.33965960299</v>
      </c>
      <c r="N165">
        <v>4711.8999999999996</v>
      </c>
      <c r="O165" t="s">
        <v>37</v>
      </c>
      <c r="P165">
        <v>0</v>
      </c>
      <c r="Q165">
        <v>0</v>
      </c>
      <c r="R165" t="s">
        <v>27</v>
      </c>
      <c r="S165">
        <v>7</v>
      </c>
      <c r="T165" t="s">
        <v>41</v>
      </c>
      <c r="U165" t="s">
        <v>29</v>
      </c>
    </row>
    <row r="166" spans="1:21" x14ac:dyDescent="0.25">
      <c r="A166" t="s">
        <v>370</v>
      </c>
      <c r="B166">
        <v>31</v>
      </c>
      <c r="C166" t="s">
        <v>31</v>
      </c>
      <c r="D166" t="s">
        <v>23</v>
      </c>
      <c r="E166">
        <v>237821</v>
      </c>
      <c r="F166">
        <v>0</v>
      </c>
      <c r="G166" t="s">
        <v>371</v>
      </c>
      <c r="H166">
        <v>1425607</v>
      </c>
      <c r="I166">
        <v>36</v>
      </c>
      <c r="J166">
        <v>13.5</v>
      </c>
      <c r="K166" t="s">
        <v>44</v>
      </c>
      <c r="L166">
        <v>0</v>
      </c>
      <c r="M166">
        <v>844803.61114044604</v>
      </c>
      <c r="N166">
        <v>23466.77</v>
      </c>
      <c r="O166" t="s">
        <v>26</v>
      </c>
      <c r="P166">
        <v>0</v>
      </c>
      <c r="Q166">
        <v>0</v>
      </c>
      <c r="R166" t="s">
        <v>27</v>
      </c>
      <c r="S166">
        <v>1</v>
      </c>
      <c r="T166" t="s">
        <v>41</v>
      </c>
      <c r="U166" t="s">
        <v>29</v>
      </c>
    </row>
    <row r="167" spans="1:21" x14ac:dyDescent="0.25">
      <c r="A167" t="s">
        <v>372</v>
      </c>
      <c r="B167">
        <v>48</v>
      </c>
      <c r="C167" t="s">
        <v>22</v>
      </c>
      <c r="D167" t="s">
        <v>23</v>
      </c>
      <c r="E167">
        <v>19114</v>
      </c>
      <c r="F167">
        <v>2</v>
      </c>
      <c r="G167" t="s">
        <v>373</v>
      </c>
      <c r="H167">
        <v>69477</v>
      </c>
      <c r="I167">
        <v>60</v>
      </c>
      <c r="J167">
        <v>13.05</v>
      </c>
      <c r="K167" t="s">
        <v>25</v>
      </c>
      <c r="L167">
        <v>97555.111891074994</v>
      </c>
      <c r="M167">
        <v>17239.977364942799</v>
      </c>
      <c r="N167">
        <v>287.33</v>
      </c>
      <c r="O167" t="s">
        <v>37</v>
      </c>
      <c r="P167">
        <v>0</v>
      </c>
      <c r="Q167">
        <v>0</v>
      </c>
      <c r="R167" t="s">
        <v>27</v>
      </c>
      <c r="S167">
        <v>3</v>
      </c>
      <c r="T167" t="s">
        <v>28</v>
      </c>
      <c r="U167" t="s">
        <v>29</v>
      </c>
    </row>
    <row r="168" spans="1:21" x14ac:dyDescent="0.25">
      <c r="A168" t="s">
        <v>374</v>
      </c>
      <c r="B168">
        <v>45</v>
      </c>
      <c r="C168" t="s">
        <v>22</v>
      </c>
      <c r="D168" t="s">
        <v>49</v>
      </c>
      <c r="E168">
        <v>211037</v>
      </c>
      <c r="F168">
        <v>1</v>
      </c>
      <c r="G168" t="s">
        <v>375</v>
      </c>
      <c r="H168">
        <v>1509058</v>
      </c>
      <c r="I168">
        <v>36</v>
      </c>
      <c r="J168">
        <v>9.32</v>
      </c>
      <c r="K168" t="s">
        <v>44</v>
      </c>
      <c r="L168">
        <v>0</v>
      </c>
      <c r="M168">
        <v>237664.24667176901</v>
      </c>
      <c r="N168">
        <v>6601.78</v>
      </c>
      <c r="O168" t="s">
        <v>37</v>
      </c>
      <c r="P168">
        <v>1</v>
      </c>
      <c r="Q168">
        <v>111</v>
      </c>
      <c r="R168" t="s">
        <v>27</v>
      </c>
      <c r="S168">
        <v>6</v>
      </c>
      <c r="T168" t="s">
        <v>38</v>
      </c>
      <c r="U168" t="s">
        <v>29</v>
      </c>
    </row>
    <row r="169" spans="1:21" x14ac:dyDescent="0.25">
      <c r="A169" t="s">
        <v>376</v>
      </c>
      <c r="B169">
        <v>59</v>
      </c>
      <c r="C169" t="s">
        <v>22</v>
      </c>
      <c r="D169" t="s">
        <v>23</v>
      </c>
      <c r="E169">
        <v>51321</v>
      </c>
      <c r="F169">
        <v>3</v>
      </c>
      <c r="G169" t="s">
        <v>377</v>
      </c>
      <c r="H169">
        <v>267400</v>
      </c>
      <c r="I169">
        <v>48</v>
      </c>
      <c r="J169">
        <v>17.07</v>
      </c>
      <c r="K169" t="s">
        <v>44</v>
      </c>
      <c r="L169">
        <v>0</v>
      </c>
      <c r="M169">
        <v>103122.800647711</v>
      </c>
      <c r="N169">
        <v>2148.39</v>
      </c>
      <c r="O169" t="s">
        <v>26</v>
      </c>
      <c r="P169">
        <v>0</v>
      </c>
      <c r="Q169">
        <v>0</v>
      </c>
      <c r="R169" t="s">
        <v>34</v>
      </c>
      <c r="S169">
        <v>2</v>
      </c>
      <c r="T169" t="s">
        <v>45</v>
      </c>
      <c r="U169" t="s">
        <v>29</v>
      </c>
    </row>
    <row r="170" spans="1:21" x14ac:dyDescent="0.25">
      <c r="A170" t="s">
        <v>378</v>
      </c>
      <c r="B170">
        <v>53</v>
      </c>
      <c r="C170" t="s">
        <v>22</v>
      </c>
      <c r="D170" t="s">
        <v>23</v>
      </c>
      <c r="E170">
        <v>88297</v>
      </c>
      <c r="F170">
        <v>2</v>
      </c>
      <c r="G170" t="s">
        <v>379</v>
      </c>
      <c r="H170">
        <v>1315636</v>
      </c>
      <c r="I170">
        <v>24</v>
      </c>
      <c r="J170">
        <v>15.98</v>
      </c>
      <c r="K170" t="s">
        <v>64</v>
      </c>
      <c r="L170">
        <v>748134.65653612197</v>
      </c>
      <c r="M170">
        <v>392437.36387115001</v>
      </c>
      <c r="N170">
        <v>16351.56</v>
      </c>
      <c r="O170" t="s">
        <v>26</v>
      </c>
      <c r="P170">
        <v>0</v>
      </c>
      <c r="Q170">
        <v>0</v>
      </c>
      <c r="R170" t="s">
        <v>34</v>
      </c>
      <c r="S170">
        <v>2</v>
      </c>
      <c r="T170" t="s">
        <v>41</v>
      </c>
      <c r="U170" t="s">
        <v>29</v>
      </c>
    </row>
    <row r="171" spans="1:21" x14ac:dyDescent="0.25">
      <c r="A171" t="s">
        <v>380</v>
      </c>
      <c r="B171">
        <v>21</v>
      </c>
      <c r="C171" t="s">
        <v>22</v>
      </c>
      <c r="D171" t="s">
        <v>58</v>
      </c>
      <c r="E171">
        <v>111652</v>
      </c>
      <c r="F171">
        <v>1</v>
      </c>
      <c r="G171" t="s">
        <v>381</v>
      </c>
      <c r="H171">
        <v>439959</v>
      </c>
      <c r="I171">
        <v>48</v>
      </c>
      <c r="J171">
        <v>7.91</v>
      </c>
      <c r="K171" t="s">
        <v>25</v>
      </c>
      <c r="L171">
        <v>656370.07875986304</v>
      </c>
      <c r="M171">
        <v>248037.739684336</v>
      </c>
      <c r="N171">
        <v>5167.45</v>
      </c>
      <c r="O171" t="s">
        <v>37</v>
      </c>
      <c r="P171">
        <v>2</v>
      </c>
      <c r="Q171">
        <v>151</v>
      </c>
      <c r="R171" t="s">
        <v>27</v>
      </c>
      <c r="S171">
        <v>4</v>
      </c>
      <c r="T171" t="s">
        <v>41</v>
      </c>
      <c r="U171" t="s">
        <v>29</v>
      </c>
    </row>
    <row r="172" spans="1:21" x14ac:dyDescent="0.25">
      <c r="A172" t="s">
        <v>382</v>
      </c>
      <c r="B172">
        <v>47</v>
      </c>
      <c r="C172" t="s">
        <v>31</v>
      </c>
      <c r="D172" t="s">
        <v>23</v>
      </c>
      <c r="E172">
        <v>114304</v>
      </c>
      <c r="F172">
        <v>0</v>
      </c>
      <c r="G172" t="s">
        <v>383</v>
      </c>
      <c r="H172">
        <v>1609757</v>
      </c>
      <c r="I172">
        <v>72</v>
      </c>
      <c r="J172">
        <v>8.11</v>
      </c>
      <c r="K172" t="s">
        <v>25</v>
      </c>
      <c r="L172">
        <v>2336396.2583488999</v>
      </c>
      <c r="M172">
        <v>309283.21787967201</v>
      </c>
      <c r="N172">
        <v>4295.6000000000004</v>
      </c>
      <c r="O172" t="s">
        <v>37</v>
      </c>
      <c r="P172">
        <v>0</v>
      </c>
      <c r="Q172">
        <v>0</v>
      </c>
      <c r="R172" t="s">
        <v>34</v>
      </c>
      <c r="S172">
        <v>0</v>
      </c>
      <c r="T172" t="s">
        <v>41</v>
      </c>
      <c r="U172" t="s">
        <v>29</v>
      </c>
    </row>
    <row r="173" spans="1:21" x14ac:dyDescent="0.25">
      <c r="A173" t="s">
        <v>384</v>
      </c>
      <c r="B173">
        <v>33</v>
      </c>
      <c r="C173" t="s">
        <v>22</v>
      </c>
      <c r="D173" t="s">
        <v>23</v>
      </c>
      <c r="E173">
        <v>171498</v>
      </c>
      <c r="F173">
        <v>1</v>
      </c>
      <c r="G173" t="s">
        <v>385</v>
      </c>
      <c r="H173">
        <v>1606407</v>
      </c>
      <c r="I173">
        <v>72</v>
      </c>
      <c r="J173">
        <v>11.66</v>
      </c>
      <c r="K173" t="s">
        <v>44</v>
      </c>
      <c r="L173">
        <v>0</v>
      </c>
      <c r="M173">
        <v>1247525.5701565</v>
      </c>
      <c r="N173">
        <v>17326.740000000002</v>
      </c>
      <c r="O173" t="s">
        <v>37</v>
      </c>
      <c r="P173">
        <v>1</v>
      </c>
      <c r="Q173">
        <v>68</v>
      </c>
      <c r="R173" t="s">
        <v>27</v>
      </c>
      <c r="S173">
        <v>10</v>
      </c>
      <c r="T173" t="s">
        <v>45</v>
      </c>
      <c r="U173" t="s">
        <v>29</v>
      </c>
    </row>
    <row r="174" spans="1:21" x14ac:dyDescent="0.25">
      <c r="A174" t="s">
        <v>386</v>
      </c>
      <c r="B174">
        <v>61</v>
      </c>
      <c r="C174" t="s">
        <v>31</v>
      </c>
      <c r="D174" t="s">
        <v>23</v>
      </c>
      <c r="E174">
        <v>32772</v>
      </c>
      <c r="F174">
        <v>0</v>
      </c>
      <c r="G174" t="s">
        <v>387</v>
      </c>
      <c r="H174">
        <v>1074374</v>
      </c>
      <c r="I174">
        <v>60</v>
      </c>
      <c r="J174">
        <v>15.06</v>
      </c>
      <c r="K174" t="s">
        <v>44</v>
      </c>
      <c r="L174">
        <v>0</v>
      </c>
      <c r="M174">
        <v>983707.75808864704</v>
      </c>
      <c r="N174">
        <v>16395.13</v>
      </c>
      <c r="O174" t="s">
        <v>37</v>
      </c>
      <c r="P174">
        <v>2</v>
      </c>
      <c r="Q174">
        <v>82</v>
      </c>
      <c r="R174" t="s">
        <v>34</v>
      </c>
      <c r="S174">
        <v>3</v>
      </c>
      <c r="T174" t="s">
        <v>41</v>
      </c>
      <c r="U174" t="s">
        <v>29</v>
      </c>
    </row>
    <row r="175" spans="1:21" x14ac:dyDescent="0.25">
      <c r="A175" t="s">
        <v>388</v>
      </c>
      <c r="B175">
        <v>23</v>
      </c>
      <c r="C175" t="s">
        <v>31</v>
      </c>
      <c r="D175" t="s">
        <v>58</v>
      </c>
      <c r="E175">
        <v>118754</v>
      </c>
      <c r="F175">
        <v>1</v>
      </c>
      <c r="G175" t="s">
        <v>389</v>
      </c>
      <c r="H175">
        <v>455105</v>
      </c>
      <c r="I175">
        <v>60</v>
      </c>
      <c r="J175">
        <v>5.57</v>
      </c>
      <c r="K175" t="s">
        <v>33</v>
      </c>
      <c r="L175">
        <v>289911.40126208001</v>
      </c>
      <c r="M175">
        <v>350017.45835900097</v>
      </c>
      <c r="N175">
        <v>5833.62</v>
      </c>
      <c r="O175" t="s">
        <v>26</v>
      </c>
      <c r="P175">
        <v>3</v>
      </c>
      <c r="Q175">
        <v>62</v>
      </c>
      <c r="R175" t="s">
        <v>34</v>
      </c>
      <c r="S175">
        <v>2</v>
      </c>
      <c r="T175" t="s">
        <v>45</v>
      </c>
      <c r="U175" t="s">
        <v>29</v>
      </c>
    </row>
    <row r="176" spans="1:21" x14ac:dyDescent="0.25">
      <c r="A176" t="s">
        <v>390</v>
      </c>
      <c r="B176">
        <v>59</v>
      </c>
      <c r="C176" t="s">
        <v>22</v>
      </c>
      <c r="D176" t="s">
        <v>23</v>
      </c>
      <c r="E176">
        <v>18712</v>
      </c>
      <c r="F176">
        <v>2</v>
      </c>
      <c r="G176" t="s">
        <v>391</v>
      </c>
      <c r="H176">
        <v>1385055</v>
      </c>
      <c r="I176">
        <v>48</v>
      </c>
      <c r="J176">
        <v>14.01</v>
      </c>
      <c r="K176" t="s">
        <v>44</v>
      </c>
      <c r="L176">
        <v>0</v>
      </c>
      <c r="M176">
        <v>802700.77705918904</v>
      </c>
      <c r="N176">
        <v>16722.93</v>
      </c>
      <c r="O176" t="s">
        <v>26</v>
      </c>
      <c r="P176">
        <v>1</v>
      </c>
      <c r="Q176">
        <v>22</v>
      </c>
      <c r="R176" t="s">
        <v>27</v>
      </c>
      <c r="S176">
        <v>0</v>
      </c>
      <c r="T176" t="s">
        <v>38</v>
      </c>
      <c r="U176" t="s">
        <v>29</v>
      </c>
    </row>
    <row r="177" spans="1:21" x14ac:dyDescent="0.25">
      <c r="A177" t="s">
        <v>392</v>
      </c>
      <c r="B177">
        <v>26</v>
      </c>
      <c r="C177" t="s">
        <v>31</v>
      </c>
      <c r="D177" t="s">
        <v>23</v>
      </c>
      <c r="E177">
        <v>147439</v>
      </c>
      <c r="F177">
        <v>0</v>
      </c>
      <c r="G177" t="s">
        <v>393</v>
      </c>
      <c r="H177">
        <v>1447330</v>
      </c>
      <c r="I177">
        <v>48</v>
      </c>
      <c r="J177">
        <v>13.43</v>
      </c>
      <c r="K177" t="s">
        <v>25</v>
      </c>
      <c r="L177">
        <v>1501727.3563036199</v>
      </c>
      <c r="M177">
        <v>1265836.32265874</v>
      </c>
      <c r="N177">
        <v>26371.59</v>
      </c>
      <c r="O177" t="s">
        <v>68</v>
      </c>
      <c r="P177">
        <v>8</v>
      </c>
      <c r="Q177">
        <v>71</v>
      </c>
      <c r="R177" t="s">
        <v>27</v>
      </c>
      <c r="S177">
        <v>9</v>
      </c>
      <c r="T177" t="s">
        <v>38</v>
      </c>
      <c r="U177" t="s">
        <v>29</v>
      </c>
    </row>
    <row r="178" spans="1:21" x14ac:dyDescent="0.25">
      <c r="A178" t="s">
        <v>394</v>
      </c>
      <c r="B178">
        <v>28</v>
      </c>
      <c r="C178" t="s">
        <v>22</v>
      </c>
      <c r="D178" t="s">
        <v>23</v>
      </c>
      <c r="E178">
        <v>130142</v>
      </c>
      <c r="F178">
        <v>2</v>
      </c>
      <c r="G178" t="s">
        <v>395</v>
      </c>
      <c r="H178">
        <v>323586</v>
      </c>
      <c r="I178">
        <v>24</v>
      </c>
      <c r="J178">
        <v>8.01</v>
      </c>
      <c r="K178" t="s">
        <v>44</v>
      </c>
      <c r="L178">
        <v>0</v>
      </c>
      <c r="M178">
        <v>234737.872955981</v>
      </c>
      <c r="N178">
        <v>9780.74</v>
      </c>
      <c r="O178" t="s">
        <v>26</v>
      </c>
      <c r="P178">
        <v>1</v>
      </c>
      <c r="Q178">
        <v>115</v>
      </c>
      <c r="R178" t="s">
        <v>27</v>
      </c>
      <c r="S178">
        <v>10</v>
      </c>
      <c r="T178" t="s">
        <v>38</v>
      </c>
      <c r="U178" t="s">
        <v>29</v>
      </c>
    </row>
    <row r="179" spans="1:21" x14ac:dyDescent="0.25">
      <c r="A179" t="s">
        <v>396</v>
      </c>
      <c r="B179">
        <v>47</v>
      </c>
      <c r="C179" t="s">
        <v>22</v>
      </c>
      <c r="D179" t="s">
        <v>23</v>
      </c>
      <c r="E179">
        <v>106736</v>
      </c>
      <c r="F179">
        <v>2</v>
      </c>
      <c r="G179" t="s">
        <v>397</v>
      </c>
      <c r="H179">
        <v>1931297</v>
      </c>
      <c r="I179">
        <v>36</v>
      </c>
      <c r="J179">
        <v>13.86</v>
      </c>
      <c r="K179" t="s">
        <v>25</v>
      </c>
      <c r="L179">
        <v>1322784.5157373999</v>
      </c>
      <c r="M179">
        <v>211469.31602121599</v>
      </c>
      <c r="N179">
        <v>5874.15</v>
      </c>
      <c r="O179" t="s">
        <v>26</v>
      </c>
      <c r="P179">
        <v>3</v>
      </c>
      <c r="Q179">
        <v>62</v>
      </c>
      <c r="R179" t="s">
        <v>34</v>
      </c>
      <c r="S179">
        <v>0</v>
      </c>
      <c r="T179" t="s">
        <v>28</v>
      </c>
      <c r="U179" t="s">
        <v>29</v>
      </c>
    </row>
    <row r="180" spans="1:21" x14ac:dyDescent="0.25">
      <c r="A180" t="s">
        <v>398</v>
      </c>
      <c r="B180">
        <v>29</v>
      </c>
      <c r="C180" t="s">
        <v>22</v>
      </c>
      <c r="D180" t="s">
        <v>23</v>
      </c>
      <c r="E180">
        <v>66924</v>
      </c>
      <c r="F180">
        <v>0</v>
      </c>
      <c r="G180" t="s">
        <v>399</v>
      </c>
      <c r="H180">
        <v>1938755</v>
      </c>
      <c r="I180">
        <v>48</v>
      </c>
      <c r="J180">
        <v>17.22</v>
      </c>
      <c r="K180" t="s">
        <v>44</v>
      </c>
      <c r="L180">
        <v>0</v>
      </c>
      <c r="M180">
        <v>881515.328728099</v>
      </c>
      <c r="N180">
        <v>18364.900000000001</v>
      </c>
      <c r="O180" t="s">
        <v>26</v>
      </c>
      <c r="P180">
        <v>1</v>
      </c>
      <c r="Q180">
        <v>118</v>
      </c>
      <c r="R180" t="s">
        <v>27</v>
      </c>
      <c r="S180">
        <v>9</v>
      </c>
      <c r="T180" t="s">
        <v>45</v>
      </c>
      <c r="U180" t="s">
        <v>29</v>
      </c>
    </row>
    <row r="181" spans="1:21" x14ac:dyDescent="0.25">
      <c r="A181" t="s">
        <v>400</v>
      </c>
      <c r="B181">
        <v>57</v>
      </c>
      <c r="C181" t="s">
        <v>31</v>
      </c>
      <c r="D181" t="s">
        <v>23</v>
      </c>
      <c r="E181">
        <v>18726</v>
      </c>
      <c r="F181">
        <v>0</v>
      </c>
      <c r="G181" t="s">
        <v>401</v>
      </c>
      <c r="H181">
        <v>873759</v>
      </c>
      <c r="I181">
        <v>72</v>
      </c>
      <c r="J181">
        <v>5.61</v>
      </c>
      <c r="K181" t="s">
        <v>33</v>
      </c>
      <c r="L181">
        <v>810983.93583162501</v>
      </c>
      <c r="M181">
        <v>756550.09260640806</v>
      </c>
      <c r="N181">
        <v>10507.64</v>
      </c>
      <c r="O181" t="s">
        <v>26</v>
      </c>
      <c r="P181">
        <v>3</v>
      </c>
      <c r="Q181">
        <v>145</v>
      </c>
      <c r="R181" t="s">
        <v>34</v>
      </c>
      <c r="S181">
        <v>3</v>
      </c>
      <c r="T181" t="s">
        <v>41</v>
      </c>
      <c r="U181" t="s">
        <v>29</v>
      </c>
    </row>
    <row r="182" spans="1:21" x14ac:dyDescent="0.25">
      <c r="A182" t="s">
        <v>402</v>
      </c>
      <c r="B182">
        <v>53</v>
      </c>
      <c r="C182" t="s">
        <v>31</v>
      </c>
      <c r="D182" t="s">
        <v>23</v>
      </c>
      <c r="E182">
        <v>104152</v>
      </c>
      <c r="F182">
        <v>3</v>
      </c>
      <c r="G182" t="s">
        <v>403</v>
      </c>
      <c r="H182">
        <v>983703</v>
      </c>
      <c r="I182">
        <v>36</v>
      </c>
      <c r="J182">
        <v>9.16</v>
      </c>
      <c r="K182" t="s">
        <v>33</v>
      </c>
      <c r="L182">
        <v>552275.58392828505</v>
      </c>
      <c r="M182">
        <v>404570.45655016199</v>
      </c>
      <c r="N182">
        <v>11238.07</v>
      </c>
      <c r="O182" t="s">
        <v>26</v>
      </c>
      <c r="P182">
        <v>3</v>
      </c>
      <c r="Q182">
        <v>156</v>
      </c>
      <c r="R182" t="s">
        <v>34</v>
      </c>
      <c r="S182">
        <v>2</v>
      </c>
      <c r="T182" t="s">
        <v>41</v>
      </c>
      <c r="U182" t="s">
        <v>29</v>
      </c>
    </row>
    <row r="183" spans="1:21" x14ac:dyDescent="0.25">
      <c r="A183" t="s">
        <v>404</v>
      </c>
      <c r="B183">
        <v>62</v>
      </c>
      <c r="C183" t="s">
        <v>31</v>
      </c>
      <c r="D183" t="s">
        <v>23</v>
      </c>
      <c r="E183">
        <v>42723</v>
      </c>
      <c r="F183">
        <v>3</v>
      </c>
      <c r="G183" t="s">
        <v>405</v>
      </c>
      <c r="H183">
        <v>384971</v>
      </c>
      <c r="I183">
        <v>48</v>
      </c>
      <c r="J183">
        <v>10.7</v>
      </c>
      <c r="K183" t="s">
        <v>33</v>
      </c>
      <c r="L183">
        <v>278689.97248864098</v>
      </c>
      <c r="M183">
        <v>50698.238510564901</v>
      </c>
      <c r="N183">
        <v>1056.21</v>
      </c>
      <c r="O183" t="s">
        <v>68</v>
      </c>
      <c r="P183">
        <v>3</v>
      </c>
      <c r="Q183">
        <v>171</v>
      </c>
      <c r="R183" t="s">
        <v>65</v>
      </c>
      <c r="S183">
        <v>3</v>
      </c>
      <c r="T183" t="s">
        <v>41</v>
      </c>
      <c r="U183" t="s">
        <v>29</v>
      </c>
    </row>
    <row r="184" spans="1:21" x14ac:dyDescent="0.25">
      <c r="A184" t="s">
        <v>406</v>
      </c>
      <c r="B184">
        <v>64</v>
      </c>
      <c r="C184" t="s">
        <v>31</v>
      </c>
      <c r="D184" t="s">
        <v>23</v>
      </c>
      <c r="E184">
        <v>141969</v>
      </c>
      <c r="F184">
        <v>3</v>
      </c>
      <c r="G184" t="s">
        <v>407</v>
      </c>
      <c r="H184">
        <v>1729328</v>
      </c>
      <c r="I184">
        <v>48</v>
      </c>
      <c r="J184">
        <v>16.690000000000001</v>
      </c>
      <c r="K184" t="s">
        <v>44</v>
      </c>
      <c r="L184">
        <v>0</v>
      </c>
      <c r="M184">
        <v>1334283.2077804899</v>
      </c>
      <c r="N184">
        <v>27797.57</v>
      </c>
      <c r="O184" t="s">
        <v>26</v>
      </c>
      <c r="P184">
        <v>0</v>
      </c>
      <c r="Q184">
        <v>0</v>
      </c>
      <c r="R184" t="s">
        <v>27</v>
      </c>
      <c r="S184">
        <v>9</v>
      </c>
      <c r="T184" t="s">
        <v>41</v>
      </c>
      <c r="U184" t="s">
        <v>29</v>
      </c>
    </row>
    <row r="185" spans="1:21" x14ac:dyDescent="0.25">
      <c r="A185" t="s">
        <v>408</v>
      </c>
      <c r="B185">
        <v>44</v>
      </c>
      <c r="C185" t="s">
        <v>31</v>
      </c>
      <c r="D185" t="s">
        <v>23</v>
      </c>
      <c r="E185">
        <v>249182</v>
      </c>
      <c r="F185">
        <v>2</v>
      </c>
      <c r="G185" t="s">
        <v>409</v>
      </c>
      <c r="H185">
        <v>181184</v>
      </c>
      <c r="I185">
        <v>48</v>
      </c>
      <c r="J185">
        <v>17.510000000000002</v>
      </c>
      <c r="K185" t="s">
        <v>33</v>
      </c>
      <c r="L185">
        <v>156411.21834273799</v>
      </c>
      <c r="M185">
        <v>148903.25176663799</v>
      </c>
      <c r="N185">
        <v>3102.15</v>
      </c>
      <c r="O185" t="s">
        <v>26</v>
      </c>
      <c r="P185">
        <v>0</v>
      </c>
      <c r="Q185">
        <v>0</v>
      </c>
      <c r="R185" t="s">
        <v>34</v>
      </c>
      <c r="S185">
        <v>2</v>
      </c>
      <c r="T185" t="s">
        <v>28</v>
      </c>
      <c r="U185" t="s">
        <v>29</v>
      </c>
    </row>
    <row r="186" spans="1:21" x14ac:dyDescent="0.25">
      <c r="A186" t="s">
        <v>410</v>
      </c>
      <c r="B186">
        <v>35</v>
      </c>
      <c r="C186" t="s">
        <v>31</v>
      </c>
      <c r="D186" t="s">
        <v>23</v>
      </c>
      <c r="E186">
        <v>115494</v>
      </c>
      <c r="F186">
        <v>2</v>
      </c>
      <c r="G186" t="s">
        <v>411</v>
      </c>
      <c r="H186">
        <v>1185627</v>
      </c>
      <c r="I186">
        <v>60</v>
      </c>
      <c r="J186">
        <v>10.77</v>
      </c>
      <c r="K186" t="s">
        <v>25</v>
      </c>
      <c r="L186">
        <v>1112885.81977423</v>
      </c>
      <c r="M186">
        <v>289926.49878580199</v>
      </c>
      <c r="N186">
        <v>4832.1099999999997</v>
      </c>
      <c r="O186" t="s">
        <v>68</v>
      </c>
      <c r="P186">
        <v>10</v>
      </c>
      <c r="Q186">
        <v>97</v>
      </c>
      <c r="R186" t="s">
        <v>27</v>
      </c>
      <c r="S186">
        <v>3</v>
      </c>
      <c r="T186" t="s">
        <v>41</v>
      </c>
      <c r="U186" t="s">
        <v>29</v>
      </c>
    </row>
    <row r="187" spans="1:21" x14ac:dyDescent="0.25">
      <c r="A187" t="s">
        <v>412</v>
      </c>
      <c r="B187">
        <v>52</v>
      </c>
      <c r="C187" t="s">
        <v>31</v>
      </c>
      <c r="D187" t="s">
        <v>23</v>
      </c>
      <c r="E187">
        <v>155180</v>
      </c>
      <c r="F187">
        <v>3</v>
      </c>
      <c r="G187" t="s">
        <v>413</v>
      </c>
      <c r="H187">
        <v>200653</v>
      </c>
      <c r="I187">
        <v>24</v>
      </c>
      <c r="J187">
        <v>14.75</v>
      </c>
      <c r="K187" t="s">
        <v>44</v>
      </c>
      <c r="L187">
        <v>0</v>
      </c>
      <c r="M187">
        <v>117102.384441767</v>
      </c>
      <c r="N187">
        <v>4879.2700000000004</v>
      </c>
      <c r="O187" t="s">
        <v>68</v>
      </c>
      <c r="P187">
        <v>6</v>
      </c>
      <c r="Q187">
        <v>86</v>
      </c>
      <c r="R187" t="s">
        <v>34</v>
      </c>
      <c r="S187">
        <v>1</v>
      </c>
      <c r="T187" t="s">
        <v>28</v>
      </c>
      <c r="U187" t="s">
        <v>29</v>
      </c>
    </row>
    <row r="188" spans="1:21" x14ac:dyDescent="0.25">
      <c r="A188" t="s">
        <v>414</v>
      </c>
      <c r="B188">
        <v>52</v>
      </c>
      <c r="C188" t="s">
        <v>31</v>
      </c>
      <c r="D188" t="s">
        <v>49</v>
      </c>
      <c r="E188">
        <v>223786</v>
      </c>
      <c r="F188">
        <v>2</v>
      </c>
      <c r="G188" t="s">
        <v>415</v>
      </c>
      <c r="H188">
        <v>295300</v>
      </c>
      <c r="I188">
        <v>48</v>
      </c>
      <c r="J188">
        <v>11.91</v>
      </c>
      <c r="K188" t="s">
        <v>25</v>
      </c>
      <c r="L188">
        <v>436304.64504908602</v>
      </c>
      <c r="M188">
        <v>80545.997021894</v>
      </c>
      <c r="N188">
        <v>1678.04</v>
      </c>
      <c r="O188" t="s">
        <v>26</v>
      </c>
      <c r="P188">
        <v>2</v>
      </c>
      <c r="Q188">
        <v>7</v>
      </c>
      <c r="R188" t="s">
        <v>34</v>
      </c>
      <c r="S188">
        <v>2</v>
      </c>
      <c r="T188" t="s">
        <v>45</v>
      </c>
      <c r="U188" t="s">
        <v>29</v>
      </c>
    </row>
    <row r="189" spans="1:21" x14ac:dyDescent="0.25">
      <c r="A189" t="s">
        <v>416</v>
      </c>
      <c r="B189">
        <v>44</v>
      </c>
      <c r="C189" t="s">
        <v>22</v>
      </c>
      <c r="D189" t="s">
        <v>23</v>
      </c>
      <c r="E189">
        <v>50643</v>
      </c>
      <c r="F189">
        <v>2</v>
      </c>
      <c r="G189" t="s">
        <v>417</v>
      </c>
      <c r="H189">
        <v>634010</v>
      </c>
      <c r="I189">
        <v>60</v>
      </c>
      <c r="J189">
        <v>11.99</v>
      </c>
      <c r="K189" t="s">
        <v>44</v>
      </c>
      <c r="L189">
        <v>0</v>
      </c>
      <c r="M189">
        <v>473802.63261636201</v>
      </c>
      <c r="N189">
        <v>7896.71</v>
      </c>
      <c r="O189" t="s">
        <v>26</v>
      </c>
      <c r="P189">
        <v>3</v>
      </c>
      <c r="Q189">
        <v>126</v>
      </c>
      <c r="R189" t="s">
        <v>34</v>
      </c>
      <c r="S189">
        <v>1</v>
      </c>
      <c r="T189" t="s">
        <v>38</v>
      </c>
      <c r="U189" t="s">
        <v>29</v>
      </c>
    </row>
    <row r="190" spans="1:21" x14ac:dyDescent="0.25">
      <c r="A190" t="s">
        <v>418</v>
      </c>
      <c r="B190">
        <v>61</v>
      </c>
      <c r="C190" t="s">
        <v>22</v>
      </c>
      <c r="D190" t="s">
        <v>23</v>
      </c>
      <c r="E190">
        <v>177396</v>
      </c>
      <c r="F190">
        <v>0</v>
      </c>
      <c r="G190" t="s">
        <v>419</v>
      </c>
      <c r="H190">
        <v>142036</v>
      </c>
      <c r="I190">
        <v>48</v>
      </c>
      <c r="J190">
        <v>8.6199999999999992</v>
      </c>
      <c r="K190" t="s">
        <v>44</v>
      </c>
      <c r="L190">
        <v>0</v>
      </c>
      <c r="M190">
        <v>48916.546406430403</v>
      </c>
      <c r="N190">
        <v>1019.09</v>
      </c>
      <c r="O190" t="s">
        <v>37</v>
      </c>
      <c r="P190">
        <v>3</v>
      </c>
      <c r="Q190">
        <v>83</v>
      </c>
      <c r="R190" t="s">
        <v>65</v>
      </c>
      <c r="S190">
        <v>10</v>
      </c>
      <c r="T190" t="s">
        <v>41</v>
      </c>
      <c r="U190" t="s">
        <v>79</v>
      </c>
    </row>
    <row r="191" spans="1:21" x14ac:dyDescent="0.25">
      <c r="A191" t="s">
        <v>420</v>
      </c>
      <c r="B191">
        <v>32</v>
      </c>
      <c r="C191" t="s">
        <v>31</v>
      </c>
      <c r="D191" t="s">
        <v>23</v>
      </c>
      <c r="E191">
        <v>118896</v>
      </c>
      <c r="F191">
        <v>0</v>
      </c>
      <c r="G191" t="s">
        <v>421</v>
      </c>
      <c r="H191">
        <v>1851498</v>
      </c>
      <c r="I191">
        <v>36</v>
      </c>
      <c r="J191">
        <v>7.82</v>
      </c>
      <c r="K191" t="s">
        <v>33</v>
      </c>
      <c r="L191">
        <v>2421510.6272526002</v>
      </c>
      <c r="M191">
        <v>712074.30029618496</v>
      </c>
      <c r="N191">
        <v>19779.84</v>
      </c>
      <c r="O191" t="s">
        <v>37</v>
      </c>
      <c r="P191">
        <v>3</v>
      </c>
      <c r="Q191">
        <v>46</v>
      </c>
      <c r="R191" t="s">
        <v>34</v>
      </c>
      <c r="S191">
        <v>0</v>
      </c>
      <c r="T191" t="s">
        <v>38</v>
      </c>
      <c r="U191" t="s">
        <v>29</v>
      </c>
    </row>
    <row r="192" spans="1:21" x14ac:dyDescent="0.25">
      <c r="A192" t="s">
        <v>422</v>
      </c>
      <c r="B192">
        <v>59</v>
      </c>
      <c r="C192" t="s">
        <v>22</v>
      </c>
      <c r="D192" t="s">
        <v>49</v>
      </c>
      <c r="E192">
        <v>229432</v>
      </c>
      <c r="F192">
        <v>2</v>
      </c>
      <c r="G192" t="s">
        <v>423</v>
      </c>
      <c r="H192">
        <v>197595</v>
      </c>
      <c r="I192">
        <v>60</v>
      </c>
      <c r="J192">
        <v>8.74</v>
      </c>
      <c r="K192" t="s">
        <v>44</v>
      </c>
      <c r="L192">
        <v>0</v>
      </c>
      <c r="M192">
        <v>170025.314242514</v>
      </c>
      <c r="N192">
        <v>2833.76</v>
      </c>
      <c r="O192" t="s">
        <v>37</v>
      </c>
      <c r="P192">
        <v>0</v>
      </c>
      <c r="Q192">
        <v>0</v>
      </c>
      <c r="R192" t="s">
        <v>27</v>
      </c>
      <c r="S192">
        <v>10</v>
      </c>
      <c r="T192" t="s">
        <v>45</v>
      </c>
      <c r="U192" t="s">
        <v>29</v>
      </c>
    </row>
    <row r="193" spans="1:21" x14ac:dyDescent="0.25">
      <c r="A193" t="s">
        <v>424</v>
      </c>
      <c r="B193">
        <v>22</v>
      </c>
      <c r="C193" t="s">
        <v>22</v>
      </c>
      <c r="D193" t="s">
        <v>49</v>
      </c>
      <c r="E193">
        <v>154999</v>
      </c>
      <c r="F193">
        <v>3</v>
      </c>
      <c r="G193" t="s">
        <v>425</v>
      </c>
      <c r="H193">
        <v>903392</v>
      </c>
      <c r="I193">
        <v>60</v>
      </c>
      <c r="J193">
        <v>12.23</v>
      </c>
      <c r="K193" t="s">
        <v>25</v>
      </c>
      <c r="L193">
        <v>1117866.2444118599</v>
      </c>
      <c r="M193">
        <v>477614.42216441</v>
      </c>
      <c r="N193">
        <v>7960.24</v>
      </c>
      <c r="O193" t="s">
        <v>37</v>
      </c>
      <c r="P193">
        <v>0</v>
      </c>
      <c r="Q193">
        <v>0</v>
      </c>
      <c r="R193" t="s">
        <v>34</v>
      </c>
      <c r="S193">
        <v>0</v>
      </c>
      <c r="T193" t="s">
        <v>45</v>
      </c>
      <c r="U193" t="s">
        <v>29</v>
      </c>
    </row>
    <row r="194" spans="1:21" x14ac:dyDescent="0.25">
      <c r="A194" t="s">
        <v>426</v>
      </c>
      <c r="B194">
        <v>23</v>
      </c>
      <c r="C194" t="s">
        <v>31</v>
      </c>
      <c r="D194" t="s">
        <v>23</v>
      </c>
      <c r="E194">
        <v>108680</v>
      </c>
      <c r="F194">
        <v>1</v>
      </c>
      <c r="G194" t="s">
        <v>427</v>
      </c>
      <c r="H194">
        <v>1871573</v>
      </c>
      <c r="I194">
        <v>12</v>
      </c>
      <c r="J194">
        <v>5.38</v>
      </c>
      <c r="K194" t="s">
        <v>44</v>
      </c>
      <c r="L194">
        <v>0</v>
      </c>
      <c r="M194">
        <v>1315302.2127769</v>
      </c>
      <c r="N194">
        <v>109608.52</v>
      </c>
      <c r="O194" t="s">
        <v>37</v>
      </c>
      <c r="P194">
        <v>0</v>
      </c>
      <c r="Q194">
        <v>0</v>
      </c>
      <c r="R194" t="s">
        <v>27</v>
      </c>
      <c r="S194">
        <v>4</v>
      </c>
      <c r="T194" t="s">
        <v>41</v>
      </c>
      <c r="U194" t="s">
        <v>29</v>
      </c>
    </row>
    <row r="195" spans="1:21" x14ac:dyDescent="0.25">
      <c r="A195" t="s">
        <v>428</v>
      </c>
      <c r="B195">
        <v>57</v>
      </c>
      <c r="C195" t="s">
        <v>22</v>
      </c>
      <c r="D195" t="s">
        <v>23</v>
      </c>
      <c r="E195">
        <v>111546</v>
      </c>
      <c r="F195">
        <v>3</v>
      </c>
      <c r="G195" t="s">
        <v>429</v>
      </c>
      <c r="H195">
        <v>331696</v>
      </c>
      <c r="I195">
        <v>60</v>
      </c>
      <c r="J195">
        <v>16.79</v>
      </c>
      <c r="K195" t="s">
        <v>33</v>
      </c>
      <c r="L195">
        <v>343982.45593465399</v>
      </c>
      <c r="M195">
        <v>153288.57828919601</v>
      </c>
      <c r="N195">
        <v>2554.81</v>
      </c>
      <c r="O195" t="s">
        <v>26</v>
      </c>
      <c r="P195">
        <v>3</v>
      </c>
      <c r="Q195">
        <v>124</v>
      </c>
      <c r="R195" t="s">
        <v>34</v>
      </c>
      <c r="S195">
        <v>3</v>
      </c>
      <c r="T195" t="s">
        <v>45</v>
      </c>
      <c r="U195" t="s">
        <v>29</v>
      </c>
    </row>
    <row r="196" spans="1:21" x14ac:dyDescent="0.25">
      <c r="A196" t="s">
        <v>430</v>
      </c>
      <c r="B196">
        <v>37</v>
      </c>
      <c r="C196" t="s">
        <v>22</v>
      </c>
      <c r="D196" t="s">
        <v>58</v>
      </c>
      <c r="E196">
        <v>168515</v>
      </c>
      <c r="F196">
        <v>1</v>
      </c>
      <c r="G196" t="s">
        <v>431</v>
      </c>
      <c r="H196">
        <v>1615188</v>
      </c>
      <c r="I196">
        <v>60</v>
      </c>
      <c r="J196">
        <v>7.03</v>
      </c>
      <c r="K196" t="s">
        <v>64</v>
      </c>
      <c r="L196">
        <v>2164348.30295501</v>
      </c>
      <c r="M196">
        <v>594722.18969136104</v>
      </c>
      <c r="N196">
        <v>9912.0400000000009</v>
      </c>
      <c r="O196" t="s">
        <v>37</v>
      </c>
      <c r="P196">
        <v>2</v>
      </c>
      <c r="Q196">
        <v>54</v>
      </c>
      <c r="R196" t="s">
        <v>27</v>
      </c>
      <c r="S196">
        <v>0</v>
      </c>
      <c r="T196" t="s">
        <v>38</v>
      </c>
      <c r="U196" t="s">
        <v>29</v>
      </c>
    </row>
    <row r="197" spans="1:21" x14ac:dyDescent="0.25">
      <c r="A197" t="s">
        <v>432</v>
      </c>
      <c r="B197">
        <v>22</v>
      </c>
      <c r="C197" t="s">
        <v>31</v>
      </c>
      <c r="D197" t="s">
        <v>23</v>
      </c>
      <c r="E197">
        <v>94973</v>
      </c>
      <c r="F197">
        <v>3</v>
      </c>
      <c r="G197" t="s">
        <v>433</v>
      </c>
      <c r="H197">
        <v>1240456</v>
      </c>
      <c r="I197">
        <v>48</v>
      </c>
      <c r="J197">
        <v>7.86</v>
      </c>
      <c r="K197" t="s">
        <v>33</v>
      </c>
      <c r="L197">
        <v>1041143.0474261401</v>
      </c>
      <c r="M197">
        <v>822335.81162992003</v>
      </c>
      <c r="N197">
        <v>17132</v>
      </c>
      <c r="O197" t="s">
        <v>26</v>
      </c>
      <c r="P197">
        <v>0</v>
      </c>
      <c r="Q197">
        <v>0</v>
      </c>
      <c r="R197" t="s">
        <v>34</v>
      </c>
      <c r="S197">
        <v>2</v>
      </c>
      <c r="T197" t="s">
        <v>41</v>
      </c>
      <c r="U197" t="s">
        <v>29</v>
      </c>
    </row>
    <row r="198" spans="1:21" x14ac:dyDescent="0.25">
      <c r="A198" t="s">
        <v>434</v>
      </c>
      <c r="B198">
        <v>22</v>
      </c>
      <c r="C198" t="s">
        <v>31</v>
      </c>
      <c r="D198" t="s">
        <v>23</v>
      </c>
      <c r="E198">
        <v>78449</v>
      </c>
      <c r="F198">
        <v>0</v>
      </c>
      <c r="G198" t="s">
        <v>435</v>
      </c>
      <c r="H198">
        <v>285419</v>
      </c>
      <c r="I198">
        <v>72</v>
      </c>
      <c r="J198">
        <v>11.74</v>
      </c>
      <c r="K198" t="s">
        <v>44</v>
      </c>
      <c r="L198">
        <v>0</v>
      </c>
      <c r="M198">
        <v>68321.264542402801</v>
      </c>
      <c r="N198">
        <v>948.91</v>
      </c>
      <c r="O198" t="s">
        <v>37</v>
      </c>
      <c r="P198">
        <v>1</v>
      </c>
      <c r="Q198">
        <v>90</v>
      </c>
      <c r="R198" t="s">
        <v>27</v>
      </c>
      <c r="S198">
        <v>2</v>
      </c>
      <c r="T198" t="s">
        <v>28</v>
      </c>
      <c r="U198" t="s">
        <v>29</v>
      </c>
    </row>
    <row r="199" spans="1:21" x14ac:dyDescent="0.25">
      <c r="A199" t="s">
        <v>436</v>
      </c>
      <c r="B199">
        <v>48</v>
      </c>
      <c r="C199" t="s">
        <v>22</v>
      </c>
      <c r="D199" t="s">
        <v>23</v>
      </c>
      <c r="E199">
        <v>124834</v>
      </c>
      <c r="F199">
        <v>2</v>
      </c>
      <c r="G199" t="s">
        <v>437</v>
      </c>
      <c r="H199">
        <v>1040029</v>
      </c>
      <c r="I199">
        <v>60</v>
      </c>
      <c r="J199">
        <v>14.23</v>
      </c>
      <c r="K199" t="s">
        <v>44</v>
      </c>
      <c r="L199">
        <v>0</v>
      </c>
      <c r="M199">
        <v>453140.48138629203</v>
      </c>
      <c r="N199">
        <v>7552.34</v>
      </c>
      <c r="O199" t="s">
        <v>37</v>
      </c>
      <c r="P199">
        <v>1</v>
      </c>
      <c r="Q199">
        <v>66</v>
      </c>
      <c r="R199" t="s">
        <v>65</v>
      </c>
      <c r="S199">
        <v>1</v>
      </c>
      <c r="T199" t="s">
        <v>41</v>
      </c>
      <c r="U199" t="s">
        <v>29</v>
      </c>
    </row>
    <row r="200" spans="1:21" x14ac:dyDescent="0.25">
      <c r="A200" t="s">
        <v>438</v>
      </c>
      <c r="B200">
        <v>43</v>
      </c>
      <c r="C200" t="s">
        <v>31</v>
      </c>
      <c r="D200" t="s">
        <v>23</v>
      </c>
      <c r="E200">
        <v>222815</v>
      </c>
      <c r="F200">
        <v>2</v>
      </c>
      <c r="G200" t="s">
        <v>439</v>
      </c>
      <c r="H200">
        <v>204692</v>
      </c>
      <c r="I200">
        <v>60</v>
      </c>
      <c r="J200">
        <v>6.24</v>
      </c>
      <c r="K200" t="s">
        <v>25</v>
      </c>
      <c r="L200">
        <v>247451.977191796</v>
      </c>
      <c r="M200">
        <v>58978.588330939303</v>
      </c>
      <c r="N200">
        <v>982.98</v>
      </c>
      <c r="O200" t="s">
        <v>26</v>
      </c>
      <c r="P200">
        <v>1</v>
      </c>
      <c r="Q200">
        <v>87</v>
      </c>
      <c r="R200" t="s">
        <v>27</v>
      </c>
      <c r="S200">
        <v>4</v>
      </c>
      <c r="T200" t="s">
        <v>38</v>
      </c>
      <c r="U200" t="s">
        <v>29</v>
      </c>
    </row>
    <row r="201" spans="1:21" x14ac:dyDescent="0.25">
      <c r="A201" t="s">
        <v>440</v>
      </c>
      <c r="B201">
        <v>57</v>
      </c>
      <c r="C201" t="s">
        <v>31</v>
      </c>
      <c r="D201" t="s">
        <v>58</v>
      </c>
      <c r="E201">
        <v>206305</v>
      </c>
      <c r="F201">
        <v>0</v>
      </c>
      <c r="G201" t="s">
        <v>441</v>
      </c>
      <c r="H201">
        <v>313031</v>
      </c>
      <c r="I201">
        <v>60</v>
      </c>
      <c r="J201">
        <v>9.1300000000000008</v>
      </c>
      <c r="K201" t="s">
        <v>44</v>
      </c>
      <c r="L201">
        <v>0</v>
      </c>
      <c r="M201">
        <v>227327.95486678599</v>
      </c>
      <c r="N201">
        <v>3788.8</v>
      </c>
      <c r="O201" t="s">
        <v>26</v>
      </c>
      <c r="P201">
        <v>3</v>
      </c>
      <c r="Q201">
        <v>71</v>
      </c>
      <c r="R201" t="s">
        <v>34</v>
      </c>
      <c r="S201">
        <v>2</v>
      </c>
      <c r="T201" t="s">
        <v>41</v>
      </c>
      <c r="U201" t="s">
        <v>29</v>
      </c>
    </row>
    <row r="202" spans="1:21" x14ac:dyDescent="0.25">
      <c r="A202" t="s">
        <v>442</v>
      </c>
      <c r="B202">
        <v>52</v>
      </c>
      <c r="C202" t="s">
        <v>22</v>
      </c>
      <c r="D202" t="s">
        <v>49</v>
      </c>
      <c r="E202">
        <v>40537</v>
      </c>
      <c r="F202">
        <v>1</v>
      </c>
      <c r="G202" t="s">
        <v>443</v>
      </c>
      <c r="H202">
        <v>343946</v>
      </c>
      <c r="I202">
        <v>24</v>
      </c>
      <c r="J202">
        <v>17.59</v>
      </c>
      <c r="K202" t="s">
        <v>44</v>
      </c>
      <c r="L202">
        <v>0</v>
      </c>
      <c r="M202">
        <v>326675.76780241099</v>
      </c>
      <c r="N202">
        <v>13611.49</v>
      </c>
      <c r="O202" t="s">
        <v>26</v>
      </c>
      <c r="P202">
        <v>1</v>
      </c>
      <c r="Q202">
        <v>152</v>
      </c>
      <c r="R202" t="s">
        <v>65</v>
      </c>
      <c r="S202">
        <v>6</v>
      </c>
      <c r="T202" t="s">
        <v>41</v>
      </c>
      <c r="U202" t="s">
        <v>79</v>
      </c>
    </row>
    <row r="203" spans="1:21" x14ac:dyDescent="0.25">
      <c r="A203" t="s">
        <v>444</v>
      </c>
      <c r="B203">
        <v>53</v>
      </c>
      <c r="C203" t="s">
        <v>22</v>
      </c>
      <c r="D203" t="s">
        <v>23</v>
      </c>
      <c r="E203">
        <v>247365</v>
      </c>
      <c r="F203">
        <v>1</v>
      </c>
      <c r="G203" t="s">
        <v>445</v>
      </c>
      <c r="H203">
        <v>1707888</v>
      </c>
      <c r="I203">
        <v>24</v>
      </c>
      <c r="J203">
        <v>8.41</v>
      </c>
      <c r="K203" t="s">
        <v>25</v>
      </c>
      <c r="L203">
        <v>2551215.7261406798</v>
      </c>
      <c r="M203">
        <v>1700987.9125284101</v>
      </c>
      <c r="N203">
        <v>70874.5</v>
      </c>
      <c r="O203" t="s">
        <v>26</v>
      </c>
      <c r="P203">
        <v>3</v>
      </c>
      <c r="Q203">
        <v>179</v>
      </c>
      <c r="R203" t="s">
        <v>34</v>
      </c>
      <c r="S203">
        <v>1</v>
      </c>
      <c r="T203" t="s">
        <v>38</v>
      </c>
      <c r="U203" t="s">
        <v>29</v>
      </c>
    </row>
    <row r="204" spans="1:21" x14ac:dyDescent="0.25">
      <c r="A204" t="s">
        <v>446</v>
      </c>
      <c r="B204">
        <v>21</v>
      </c>
      <c r="C204" t="s">
        <v>31</v>
      </c>
      <c r="D204" t="s">
        <v>23</v>
      </c>
      <c r="E204">
        <v>92576</v>
      </c>
      <c r="F204">
        <v>1</v>
      </c>
      <c r="G204" t="s">
        <v>447</v>
      </c>
      <c r="H204">
        <v>538765</v>
      </c>
      <c r="I204">
        <v>48</v>
      </c>
      <c r="J204">
        <v>9.07</v>
      </c>
      <c r="K204" t="s">
        <v>25</v>
      </c>
      <c r="L204">
        <v>438893.544122472</v>
      </c>
      <c r="M204">
        <v>272210.54719980701</v>
      </c>
      <c r="N204">
        <v>5671.05</v>
      </c>
      <c r="O204" t="s">
        <v>37</v>
      </c>
      <c r="P204">
        <v>1</v>
      </c>
      <c r="Q204">
        <v>70</v>
      </c>
      <c r="R204" t="s">
        <v>27</v>
      </c>
      <c r="S204">
        <v>3</v>
      </c>
      <c r="T204" t="s">
        <v>41</v>
      </c>
      <c r="U204" t="s">
        <v>29</v>
      </c>
    </row>
    <row r="205" spans="1:21" x14ac:dyDescent="0.25">
      <c r="A205" t="s">
        <v>448</v>
      </c>
      <c r="B205">
        <v>39</v>
      </c>
      <c r="C205" t="s">
        <v>22</v>
      </c>
      <c r="D205" t="s">
        <v>58</v>
      </c>
      <c r="E205">
        <v>122522</v>
      </c>
      <c r="F205">
        <v>0</v>
      </c>
      <c r="G205" t="s">
        <v>449</v>
      </c>
      <c r="H205">
        <v>1868673</v>
      </c>
      <c r="I205">
        <v>36</v>
      </c>
      <c r="J205">
        <v>15.87</v>
      </c>
      <c r="K205" t="s">
        <v>64</v>
      </c>
      <c r="L205">
        <v>2193854.8689642302</v>
      </c>
      <c r="M205">
        <v>611574.34871379298</v>
      </c>
      <c r="N205">
        <v>16988.18</v>
      </c>
      <c r="O205" t="s">
        <v>26</v>
      </c>
      <c r="P205">
        <v>2</v>
      </c>
      <c r="Q205">
        <v>142</v>
      </c>
      <c r="R205" t="s">
        <v>27</v>
      </c>
      <c r="S205">
        <v>2</v>
      </c>
      <c r="T205" t="s">
        <v>41</v>
      </c>
      <c r="U205" t="s">
        <v>29</v>
      </c>
    </row>
    <row r="206" spans="1:21" x14ac:dyDescent="0.25">
      <c r="A206" t="s">
        <v>450</v>
      </c>
      <c r="B206">
        <v>22</v>
      </c>
      <c r="C206" t="s">
        <v>22</v>
      </c>
      <c r="D206" t="s">
        <v>49</v>
      </c>
      <c r="E206">
        <v>37612</v>
      </c>
      <c r="F206">
        <v>1</v>
      </c>
      <c r="G206" t="s">
        <v>451</v>
      </c>
      <c r="H206">
        <v>692927</v>
      </c>
      <c r="I206">
        <v>36</v>
      </c>
      <c r="J206">
        <v>5.65</v>
      </c>
      <c r="K206" t="s">
        <v>44</v>
      </c>
      <c r="L206">
        <v>0</v>
      </c>
      <c r="M206">
        <v>345456.28441906901</v>
      </c>
      <c r="N206">
        <v>9596.01</v>
      </c>
      <c r="O206" t="s">
        <v>37</v>
      </c>
      <c r="P206">
        <v>3</v>
      </c>
      <c r="Q206">
        <v>2</v>
      </c>
      <c r="R206" t="s">
        <v>34</v>
      </c>
      <c r="S206">
        <v>2</v>
      </c>
      <c r="T206" t="s">
        <v>38</v>
      </c>
      <c r="U206" t="s">
        <v>29</v>
      </c>
    </row>
    <row r="207" spans="1:21" x14ac:dyDescent="0.25">
      <c r="A207" t="s">
        <v>452</v>
      </c>
      <c r="B207">
        <v>64</v>
      </c>
      <c r="C207" t="s">
        <v>22</v>
      </c>
      <c r="D207" t="s">
        <v>49</v>
      </c>
      <c r="E207">
        <v>240049</v>
      </c>
      <c r="F207">
        <v>0</v>
      </c>
      <c r="G207" t="s">
        <v>453</v>
      </c>
      <c r="H207">
        <v>1704802</v>
      </c>
      <c r="I207">
        <v>72</v>
      </c>
      <c r="J207">
        <v>11.04</v>
      </c>
      <c r="K207" t="s">
        <v>44</v>
      </c>
      <c r="L207">
        <v>0</v>
      </c>
      <c r="M207">
        <v>1470464.1261789401</v>
      </c>
      <c r="N207">
        <v>20423.11</v>
      </c>
      <c r="O207" t="s">
        <v>26</v>
      </c>
      <c r="P207">
        <v>1</v>
      </c>
      <c r="Q207">
        <v>132</v>
      </c>
      <c r="R207" t="s">
        <v>34</v>
      </c>
      <c r="S207">
        <v>2</v>
      </c>
      <c r="T207" t="s">
        <v>45</v>
      </c>
      <c r="U207" t="s">
        <v>29</v>
      </c>
    </row>
    <row r="208" spans="1:21" x14ac:dyDescent="0.25">
      <c r="A208" t="s">
        <v>454</v>
      </c>
      <c r="B208">
        <v>46</v>
      </c>
      <c r="C208" t="s">
        <v>22</v>
      </c>
      <c r="D208" t="s">
        <v>58</v>
      </c>
      <c r="E208">
        <v>21471</v>
      </c>
      <c r="F208">
        <v>3</v>
      </c>
      <c r="G208" t="s">
        <v>455</v>
      </c>
      <c r="H208">
        <v>1316389</v>
      </c>
      <c r="I208">
        <v>60</v>
      </c>
      <c r="J208">
        <v>9.94</v>
      </c>
      <c r="K208" t="s">
        <v>44</v>
      </c>
      <c r="L208">
        <v>0</v>
      </c>
      <c r="M208">
        <v>375704.148265097</v>
      </c>
      <c r="N208">
        <v>6261.74</v>
      </c>
      <c r="O208" t="s">
        <v>37</v>
      </c>
      <c r="P208">
        <v>0</v>
      </c>
      <c r="Q208">
        <v>0</v>
      </c>
      <c r="R208" t="s">
        <v>34</v>
      </c>
      <c r="S208">
        <v>1</v>
      </c>
      <c r="T208" t="s">
        <v>38</v>
      </c>
      <c r="U208" t="s">
        <v>29</v>
      </c>
    </row>
    <row r="209" spans="1:21" x14ac:dyDescent="0.25">
      <c r="A209" t="s">
        <v>456</v>
      </c>
      <c r="B209">
        <v>52</v>
      </c>
      <c r="C209" t="s">
        <v>22</v>
      </c>
      <c r="D209" t="s">
        <v>58</v>
      </c>
      <c r="E209">
        <v>181703</v>
      </c>
      <c r="F209">
        <v>3</v>
      </c>
      <c r="G209" t="s">
        <v>457</v>
      </c>
      <c r="H209">
        <v>1874964</v>
      </c>
      <c r="I209">
        <v>48</v>
      </c>
      <c r="J209">
        <v>9.1199999999999992</v>
      </c>
      <c r="K209" t="s">
        <v>64</v>
      </c>
      <c r="L209">
        <v>2520541.9749506102</v>
      </c>
      <c r="M209">
        <v>1794126.9642652001</v>
      </c>
      <c r="N209">
        <v>37377.65</v>
      </c>
      <c r="O209" t="s">
        <v>37</v>
      </c>
      <c r="P209">
        <v>3</v>
      </c>
      <c r="Q209">
        <v>48</v>
      </c>
      <c r="R209" t="s">
        <v>34</v>
      </c>
      <c r="S209">
        <v>2</v>
      </c>
      <c r="T209" t="s">
        <v>41</v>
      </c>
      <c r="U209" t="s">
        <v>29</v>
      </c>
    </row>
    <row r="210" spans="1:21" x14ac:dyDescent="0.25">
      <c r="A210" t="s">
        <v>458</v>
      </c>
      <c r="B210">
        <v>26</v>
      </c>
      <c r="C210" t="s">
        <v>22</v>
      </c>
      <c r="D210" t="s">
        <v>49</v>
      </c>
      <c r="E210">
        <v>238131</v>
      </c>
      <c r="F210">
        <v>0</v>
      </c>
      <c r="G210" t="s">
        <v>459</v>
      </c>
      <c r="H210">
        <v>1483466</v>
      </c>
      <c r="I210">
        <v>72</v>
      </c>
      <c r="J210">
        <v>8.7100000000000009</v>
      </c>
      <c r="K210" t="s">
        <v>33</v>
      </c>
      <c r="L210">
        <v>2100302.41244289</v>
      </c>
      <c r="M210">
        <v>604778.22011832602</v>
      </c>
      <c r="N210">
        <v>8399.7000000000007</v>
      </c>
      <c r="O210" t="s">
        <v>37</v>
      </c>
      <c r="P210">
        <v>0</v>
      </c>
      <c r="Q210">
        <v>0</v>
      </c>
      <c r="R210" t="s">
        <v>27</v>
      </c>
      <c r="S210">
        <v>7</v>
      </c>
      <c r="T210" t="s">
        <v>28</v>
      </c>
      <c r="U210" t="s">
        <v>29</v>
      </c>
    </row>
    <row r="211" spans="1:21" x14ac:dyDescent="0.25">
      <c r="A211" t="s">
        <v>460</v>
      </c>
      <c r="B211">
        <v>52</v>
      </c>
      <c r="C211" t="s">
        <v>22</v>
      </c>
      <c r="D211" t="s">
        <v>23</v>
      </c>
      <c r="E211">
        <v>46348</v>
      </c>
      <c r="F211">
        <v>2</v>
      </c>
      <c r="G211" t="s">
        <v>461</v>
      </c>
      <c r="H211">
        <v>1911057</v>
      </c>
      <c r="I211">
        <v>60</v>
      </c>
      <c r="J211">
        <v>6.19</v>
      </c>
      <c r="K211" t="s">
        <v>33</v>
      </c>
      <c r="L211">
        <v>2327538.7945499201</v>
      </c>
      <c r="M211">
        <v>1886639.98561631</v>
      </c>
      <c r="N211">
        <v>31444</v>
      </c>
      <c r="O211" t="s">
        <v>26</v>
      </c>
      <c r="P211">
        <v>0</v>
      </c>
      <c r="Q211">
        <v>0</v>
      </c>
      <c r="R211" t="s">
        <v>34</v>
      </c>
      <c r="S211">
        <v>2</v>
      </c>
      <c r="T211" t="s">
        <v>28</v>
      </c>
      <c r="U211" t="s">
        <v>29</v>
      </c>
    </row>
    <row r="212" spans="1:21" x14ac:dyDescent="0.25">
      <c r="A212" t="s">
        <v>462</v>
      </c>
      <c r="B212">
        <v>24</v>
      </c>
      <c r="C212" t="s">
        <v>22</v>
      </c>
      <c r="D212" t="s">
        <v>23</v>
      </c>
      <c r="E212">
        <v>210804</v>
      </c>
      <c r="F212">
        <v>3</v>
      </c>
      <c r="G212" t="s">
        <v>463</v>
      </c>
      <c r="H212">
        <v>1438509</v>
      </c>
      <c r="I212">
        <v>36</v>
      </c>
      <c r="J212">
        <v>9.09</v>
      </c>
      <c r="K212" t="s">
        <v>64</v>
      </c>
      <c r="L212">
        <v>1127227.0503068599</v>
      </c>
      <c r="M212">
        <v>1229562.6889778301</v>
      </c>
      <c r="N212">
        <v>34154.519999999997</v>
      </c>
      <c r="O212" t="s">
        <v>68</v>
      </c>
      <c r="P212">
        <v>10</v>
      </c>
      <c r="Q212">
        <v>21</v>
      </c>
      <c r="R212" t="s">
        <v>34</v>
      </c>
      <c r="S212">
        <v>2</v>
      </c>
      <c r="T212" t="s">
        <v>38</v>
      </c>
      <c r="U212" t="s">
        <v>29</v>
      </c>
    </row>
    <row r="213" spans="1:21" x14ac:dyDescent="0.25">
      <c r="A213" t="s">
        <v>464</v>
      </c>
      <c r="B213">
        <v>31</v>
      </c>
      <c r="C213" t="s">
        <v>31</v>
      </c>
      <c r="D213" t="s">
        <v>49</v>
      </c>
      <c r="E213">
        <v>16177</v>
      </c>
      <c r="F213">
        <v>1</v>
      </c>
      <c r="G213" t="s">
        <v>465</v>
      </c>
      <c r="H213">
        <v>1707390</v>
      </c>
      <c r="I213">
        <v>24</v>
      </c>
      <c r="J213">
        <v>5.56</v>
      </c>
      <c r="K213" t="s">
        <v>25</v>
      </c>
      <c r="L213">
        <v>1410785.8827672999</v>
      </c>
      <c r="M213">
        <v>1413229.71986812</v>
      </c>
      <c r="N213">
        <v>58884.57</v>
      </c>
      <c r="O213" t="s">
        <v>26</v>
      </c>
      <c r="P213">
        <v>0</v>
      </c>
      <c r="Q213">
        <v>0</v>
      </c>
      <c r="R213" t="s">
        <v>34</v>
      </c>
      <c r="S213">
        <v>0</v>
      </c>
      <c r="T213" t="s">
        <v>28</v>
      </c>
      <c r="U213" t="s">
        <v>29</v>
      </c>
    </row>
    <row r="214" spans="1:21" x14ac:dyDescent="0.25">
      <c r="A214" t="s">
        <v>466</v>
      </c>
      <c r="B214">
        <v>37</v>
      </c>
      <c r="C214" t="s">
        <v>22</v>
      </c>
      <c r="D214" t="s">
        <v>23</v>
      </c>
      <c r="E214">
        <v>150832</v>
      </c>
      <c r="F214">
        <v>0</v>
      </c>
      <c r="G214" t="s">
        <v>467</v>
      </c>
      <c r="H214">
        <v>451062</v>
      </c>
      <c r="I214">
        <v>48</v>
      </c>
      <c r="J214">
        <v>15.15</v>
      </c>
      <c r="K214" t="s">
        <v>25</v>
      </c>
      <c r="L214">
        <v>234894.15948589999</v>
      </c>
      <c r="M214">
        <v>174161.44616537201</v>
      </c>
      <c r="N214">
        <v>3628.36</v>
      </c>
      <c r="O214" t="s">
        <v>26</v>
      </c>
      <c r="P214">
        <v>0</v>
      </c>
      <c r="Q214">
        <v>0</v>
      </c>
      <c r="R214" t="s">
        <v>34</v>
      </c>
      <c r="S214">
        <v>3</v>
      </c>
      <c r="T214" t="s">
        <v>41</v>
      </c>
      <c r="U214" t="s">
        <v>29</v>
      </c>
    </row>
    <row r="215" spans="1:21" x14ac:dyDescent="0.25">
      <c r="A215" t="s">
        <v>468</v>
      </c>
      <c r="B215">
        <v>58</v>
      </c>
      <c r="C215" t="s">
        <v>31</v>
      </c>
      <c r="D215" t="s">
        <v>49</v>
      </c>
      <c r="E215">
        <v>47779</v>
      </c>
      <c r="F215">
        <v>1</v>
      </c>
      <c r="G215" t="s">
        <v>469</v>
      </c>
      <c r="H215">
        <v>533779</v>
      </c>
      <c r="I215">
        <v>60</v>
      </c>
      <c r="J215">
        <v>10.18</v>
      </c>
      <c r="K215" t="s">
        <v>44</v>
      </c>
      <c r="L215">
        <v>0</v>
      </c>
      <c r="M215">
        <v>57594.482274718503</v>
      </c>
      <c r="N215">
        <v>959.91</v>
      </c>
      <c r="O215" t="s">
        <v>26</v>
      </c>
      <c r="P215">
        <v>1</v>
      </c>
      <c r="Q215">
        <v>61</v>
      </c>
      <c r="R215" t="s">
        <v>34</v>
      </c>
      <c r="S215">
        <v>0</v>
      </c>
      <c r="T215" t="s">
        <v>41</v>
      </c>
      <c r="U215" t="s">
        <v>29</v>
      </c>
    </row>
    <row r="216" spans="1:21" x14ac:dyDescent="0.25">
      <c r="A216" t="s">
        <v>470</v>
      </c>
      <c r="B216">
        <v>44</v>
      </c>
      <c r="C216" t="s">
        <v>22</v>
      </c>
      <c r="D216" t="s">
        <v>23</v>
      </c>
      <c r="E216">
        <v>36636</v>
      </c>
      <c r="F216">
        <v>1</v>
      </c>
      <c r="G216" t="s">
        <v>471</v>
      </c>
      <c r="H216">
        <v>547952</v>
      </c>
      <c r="I216">
        <v>36</v>
      </c>
      <c r="J216">
        <v>10.77</v>
      </c>
      <c r="K216" t="s">
        <v>25</v>
      </c>
      <c r="L216">
        <v>690904.99323705898</v>
      </c>
      <c r="M216">
        <v>243246.64249131599</v>
      </c>
      <c r="N216">
        <v>6756.85</v>
      </c>
      <c r="O216" t="s">
        <v>26</v>
      </c>
      <c r="P216">
        <v>1</v>
      </c>
      <c r="Q216">
        <v>104</v>
      </c>
      <c r="R216" t="s">
        <v>27</v>
      </c>
      <c r="S216">
        <v>2</v>
      </c>
      <c r="T216" t="s">
        <v>38</v>
      </c>
      <c r="U216" t="s">
        <v>29</v>
      </c>
    </row>
    <row r="217" spans="1:21" x14ac:dyDescent="0.25">
      <c r="A217" t="s">
        <v>472</v>
      </c>
      <c r="B217">
        <v>25</v>
      </c>
      <c r="C217" t="s">
        <v>31</v>
      </c>
      <c r="D217" t="s">
        <v>23</v>
      </c>
      <c r="E217">
        <v>96889</v>
      </c>
      <c r="F217">
        <v>2</v>
      </c>
      <c r="G217" t="s">
        <v>473</v>
      </c>
      <c r="H217">
        <v>620508</v>
      </c>
      <c r="I217">
        <v>60</v>
      </c>
      <c r="J217">
        <v>16.62</v>
      </c>
      <c r="K217" t="s">
        <v>25</v>
      </c>
      <c r="L217">
        <v>336774.26747828902</v>
      </c>
      <c r="M217">
        <v>230598.41551559299</v>
      </c>
      <c r="N217">
        <v>3843.31</v>
      </c>
      <c r="O217" t="s">
        <v>68</v>
      </c>
      <c r="P217">
        <v>6</v>
      </c>
      <c r="Q217">
        <v>125</v>
      </c>
      <c r="R217" t="s">
        <v>34</v>
      </c>
      <c r="S217">
        <v>1</v>
      </c>
      <c r="T217" t="s">
        <v>41</v>
      </c>
      <c r="U217" t="s">
        <v>29</v>
      </c>
    </row>
    <row r="218" spans="1:21" x14ac:dyDescent="0.25">
      <c r="A218" t="s">
        <v>474</v>
      </c>
      <c r="B218">
        <v>54</v>
      </c>
      <c r="C218" t="s">
        <v>22</v>
      </c>
      <c r="D218" t="s">
        <v>23</v>
      </c>
      <c r="E218">
        <v>68551</v>
      </c>
      <c r="F218">
        <v>1</v>
      </c>
      <c r="G218" t="s">
        <v>475</v>
      </c>
      <c r="H218">
        <v>882595</v>
      </c>
      <c r="I218">
        <v>12</v>
      </c>
      <c r="J218">
        <v>13.55</v>
      </c>
      <c r="K218" t="s">
        <v>25</v>
      </c>
      <c r="L218">
        <v>1204435.34491061</v>
      </c>
      <c r="M218">
        <v>117965.257074867</v>
      </c>
      <c r="N218">
        <v>9830.44</v>
      </c>
      <c r="O218" t="s">
        <v>26</v>
      </c>
      <c r="P218">
        <v>3</v>
      </c>
      <c r="Q218">
        <v>142</v>
      </c>
      <c r="R218" t="s">
        <v>27</v>
      </c>
      <c r="S218">
        <v>10</v>
      </c>
      <c r="T218" t="s">
        <v>45</v>
      </c>
      <c r="U218" t="s">
        <v>29</v>
      </c>
    </row>
    <row r="219" spans="1:21" x14ac:dyDescent="0.25">
      <c r="A219" t="s">
        <v>476</v>
      </c>
      <c r="B219">
        <v>26</v>
      </c>
      <c r="C219" t="s">
        <v>31</v>
      </c>
      <c r="D219" t="s">
        <v>23</v>
      </c>
      <c r="E219">
        <v>157628</v>
      </c>
      <c r="F219">
        <v>2</v>
      </c>
      <c r="G219" t="s">
        <v>477</v>
      </c>
      <c r="H219">
        <v>446981</v>
      </c>
      <c r="I219">
        <v>60</v>
      </c>
      <c r="J219">
        <v>5.0999999999999996</v>
      </c>
      <c r="K219" t="s">
        <v>64</v>
      </c>
      <c r="L219">
        <v>276529.54011844401</v>
      </c>
      <c r="M219">
        <v>247997.90094644899</v>
      </c>
      <c r="N219">
        <v>4133.3</v>
      </c>
      <c r="O219" t="s">
        <v>37</v>
      </c>
      <c r="P219">
        <v>3</v>
      </c>
      <c r="Q219">
        <v>61</v>
      </c>
      <c r="R219" t="s">
        <v>34</v>
      </c>
      <c r="S219">
        <v>3</v>
      </c>
      <c r="T219" t="s">
        <v>41</v>
      </c>
      <c r="U219" t="s">
        <v>29</v>
      </c>
    </row>
    <row r="220" spans="1:21" x14ac:dyDescent="0.25">
      <c r="A220" t="s">
        <v>478</v>
      </c>
      <c r="B220">
        <v>42</v>
      </c>
      <c r="C220" t="s">
        <v>31</v>
      </c>
      <c r="D220" t="s">
        <v>58</v>
      </c>
      <c r="E220">
        <v>173670</v>
      </c>
      <c r="F220">
        <v>3</v>
      </c>
      <c r="G220" t="s">
        <v>479</v>
      </c>
      <c r="H220">
        <v>429270</v>
      </c>
      <c r="I220">
        <v>60</v>
      </c>
      <c r="J220">
        <v>17.260000000000002</v>
      </c>
      <c r="K220" t="s">
        <v>64</v>
      </c>
      <c r="L220">
        <v>288416.43036458798</v>
      </c>
      <c r="M220">
        <v>198635.32589490601</v>
      </c>
      <c r="N220">
        <v>3310.59</v>
      </c>
      <c r="O220" t="s">
        <v>37</v>
      </c>
      <c r="P220">
        <v>1</v>
      </c>
      <c r="Q220">
        <v>176</v>
      </c>
      <c r="R220" t="s">
        <v>34</v>
      </c>
      <c r="S220">
        <v>2</v>
      </c>
      <c r="T220" t="s">
        <v>38</v>
      </c>
      <c r="U220" t="s">
        <v>29</v>
      </c>
    </row>
    <row r="221" spans="1:21" x14ac:dyDescent="0.25">
      <c r="A221" t="s">
        <v>480</v>
      </c>
      <c r="B221">
        <v>31</v>
      </c>
      <c r="C221" t="s">
        <v>22</v>
      </c>
      <c r="D221" t="s">
        <v>49</v>
      </c>
      <c r="E221">
        <v>157635</v>
      </c>
      <c r="F221">
        <v>0</v>
      </c>
      <c r="G221" t="s">
        <v>481</v>
      </c>
      <c r="H221">
        <v>1966494</v>
      </c>
      <c r="I221">
        <v>60</v>
      </c>
      <c r="J221">
        <v>8.08</v>
      </c>
      <c r="K221" t="s">
        <v>33</v>
      </c>
      <c r="L221">
        <v>1920333.44573277</v>
      </c>
      <c r="M221">
        <v>1319715.73782741</v>
      </c>
      <c r="N221">
        <v>21995.26</v>
      </c>
      <c r="O221" t="s">
        <v>26</v>
      </c>
      <c r="P221">
        <v>3</v>
      </c>
      <c r="Q221">
        <v>121</v>
      </c>
      <c r="R221" t="s">
        <v>27</v>
      </c>
      <c r="S221">
        <v>1</v>
      </c>
      <c r="T221" t="s">
        <v>45</v>
      </c>
      <c r="U221" t="s">
        <v>29</v>
      </c>
    </row>
    <row r="222" spans="1:21" x14ac:dyDescent="0.25">
      <c r="A222" t="s">
        <v>482</v>
      </c>
      <c r="B222">
        <v>36</v>
      </c>
      <c r="C222" t="s">
        <v>31</v>
      </c>
      <c r="D222" t="s">
        <v>49</v>
      </c>
      <c r="E222">
        <v>61819</v>
      </c>
      <c r="F222">
        <v>1</v>
      </c>
      <c r="G222" t="s">
        <v>483</v>
      </c>
      <c r="H222">
        <v>1173853</v>
      </c>
      <c r="I222">
        <v>72</v>
      </c>
      <c r="J222">
        <v>6.4</v>
      </c>
      <c r="K222" t="s">
        <v>33</v>
      </c>
      <c r="L222">
        <v>1453089.6389870699</v>
      </c>
      <c r="M222">
        <v>773648.58507984201</v>
      </c>
      <c r="N222">
        <v>10745.12</v>
      </c>
      <c r="O222" t="s">
        <v>37</v>
      </c>
      <c r="P222">
        <v>0</v>
      </c>
      <c r="Q222">
        <v>0</v>
      </c>
      <c r="R222" t="s">
        <v>34</v>
      </c>
      <c r="S222">
        <v>3</v>
      </c>
      <c r="T222" t="s">
        <v>45</v>
      </c>
      <c r="U222" t="s">
        <v>29</v>
      </c>
    </row>
    <row r="223" spans="1:21" x14ac:dyDescent="0.25">
      <c r="A223" t="s">
        <v>484</v>
      </c>
      <c r="B223">
        <v>53</v>
      </c>
      <c r="C223" t="s">
        <v>22</v>
      </c>
      <c r="D223" t="s">
        <v>49</v>
      </c>
      <c r="E223">
        <v>88770</v>
      </c>
      <c r="F223">
        <v>0</v>
      </c>
      <c r="G223" t="s">
        <v>485</v>
      </c>
      <c r="H223">
        <v>1055782</v>
      </c>
      <c r="I223">
        <v>60</v>
      </c>
      <c r="J223">
        <v>14.99</v>
      </c>
      <c r="K223" t="s">
        <v>25</v>
      </c>
      <c r="L223">
        <v>674647.02620949305</v>
      </c>
      <c r="M223">
        <v>220312.11226624201</v>
      </c>
      <c r="N223">
        <v>3671.87</v>
      </c>
      <c r="O223" t="s">
        <v>26</v>
      </c>
      <c r="P223">
        <v>1</v>
      </c>
      <c r="Q223">
        <v>165</v>
      </c>
      <c r="R223" t="s">
        <v>34</v>
      </c>
      <c r="S223">
        <v>0</v>
      </c>
      <c r="T223" t="s">
        <v>28</v>
      </c>
      <c r="U223" t="s">
        <v>29</v>
      </c>
    </row>
    <row r="224" spans="1:21" x14ac:dyDescent="0.25">
      <c r="A224" t="s">
        <v>486</v>
      </c>
      <c r="B224">
        <v>29</v>
      </c>
      <c r="C224" t="s">
        <v>22</v>
      </c>
      <c r="D224" t="s">
        <v>23</v>
      </c>
      <c r="E224">
        <v>237127</v>
      </c>
      <c r="F224">
        <v>1</v>
      </c>
      <c r="G224" t="s">
        <v>487</v>
      </c>
      <c r="H224">
        <v>1618146</v>
      </c>
      <c r="I224">
        <v>72</v>
      </c>
      <c r="J224">
        <v>11.51</v>
      </c>
      <c r="K224" t="s">
        <v>44</v>
      </c>
      <c r="L224">
        <v>0</v>
      </c>
      <c r="M224">
        <v>1584600.20154235</v>
      </c>
      <c r="N224">
        <v>22008.34</v>
      </c>
      <c r="O224" t="s">
        <v>26</v>
      </c>
      <c r="P224">
        <v>3</v>
      </c>
      <c r="Q224">
        <v>125</v>
      </c>
      <c r="R224" t="s">
        <v>34</v>
      </c>
      <c r="S224">
        <v>2</v>
      </c>
      <c r="T224" t="s">
        <v>41</v>
      </c>
      <c r="U224" t="s">
        <v>29</v>
      </c>
    </row>
    <row r="225" spans="1:21" x14ac:dyDescent="0.25">
      <c r="A225" t="s">
        <v>488</v>
      </c>
      <c r="B225">
        <v>26</v>
      </c>
      <c r="C225" t="s">
        <v>22</v>
      </c>
      <c r="D225" t="s">
        <v>23</v>
      </c>
      <c r="E225">
        <v>173038</v>
      </c>
      <c r="F225">
        <v>0</v>
      </c>
      <c r="G225" t="s">
        <v>489</v>
      </c>
      <c r="H225">
        <v>533455</v>
      </c>
      <c r="I225">
        <v>72</v>
      </c>
      <c r="J225">
        <v>10.64</v>
      </c>
      <c r="K225" t="s">
        <v>44</v>
      </c>
      <c r="L225">
        <v>0</v>
      </c>
      <c r="M225">
        <v>143093.05512341799</v>
      </c>
      <c r="N225">
        <v>1987.4</v>
      </c>
      <c r="O225" t="s">
        <v>26</v>
      </c>
      <c r="P225">
        <v>0</v>
      </c>
      <c r="Q225">
        <v>0</v>
      </c>
      <c r="R225" t="s">
        <v>34</v>
      </c>
      <c r="S225">
        <v>0</v>
      </c>
      <c r="T225" t="s">
        <v>38</v>
      </c>
      <c r="U225" t="s">
        <v>29</v>
      </c>
    </row>
    <row r="226" spans="1:21" x14ac:dyDescent="0.25">
      <c r="A226" t="s">
        <v>490</v>
      </c>
      <c r="B226">
        <v>36</v>
      </c>
      <c r="C226" t="s">
        <v>22</v>
      </c>
      <c r="D226" t="s">
        <v>23</v>
      </c>
      <c r="E226">
        <v>227781</v>
      </c>
      <c r="F226">
        <v>1</v>
      </c>
      <c r="G226" t="s">
        <v>491</v>
      </c>
      <c r="H226">
        <v>1989253</v>
      </c>
      <c r="I226">
        <v>60</v>
      </c>
      <c r="J226">
        <v>8.24</v>
      </c>
      <c r="K226" t="s">
        <v>25</v>
      </c>
      <c r="L226">
        <v>1870039.2062892599</v>
      </c>
      <c r="M226">
        <v>996111.72062673699</v>
      </c>
      <c r="N226">
        <v>16601.86</v>
      </c>
      <c r="O226" t="s">
        <v>68</v>
      </c>
      <c r="P226">
        <v>6</v>
      </c>
      <c r="Q226">
        <v>114</v>
      </c>
      <c r="R226" t="s">
        <v>34</v>
      </c>
      <c r="S226">
        <v>3</v>
      </c>
      <c r="T226" t="s">
        <v>28</v>
      </c>
      <c r="U226" t="s">
        <v>29</v>
      </c>
    </row>
    <row r="227" spans="1:21" x14ac:dyDescent="0.25">
      <c r="A227" t="s">
        <v>492</v>
      </c>
      <c r="B227">
        <v>49</v>
      </c>
      <c r="C227" t="s">
        <v>22</v>
      </c>
      <c r="D227" t="s">
        <v>23</v>
      </c>
      <c r="E227">
        <v>205961</v>
      </c>
      <c r="F227">
        <v>1</v>
      </c>
      <c r="G227" t="s">
        <v>493</v>
      </c>
      <c r="H227">
        <v>172332</v>
      </c>
      <c r="I227">
        <v>60</v>
      </c>
      <c r="J227">
        <v>12.12</v>
      </c>
      <c r="K227" t="s">
        <v>33</v>
      </c>
      <c r="L227">
        <v>169376.725821642</v>
      </c>
      <c r="M227">
        <v>92939.645245520194</v>
      </c>
      <c r="N227">
        <v>1548.99</v>
      </c>
      <c r="O227" t="s">
        <v>68</v>
      </c>
      <c r="P227">
        <v>4</v>
      </c>
      <c r="Q227">
        <v>4</v>
      </c>
      <c r="R227" t="s">
        <v>34</v>
      </c>
      <c r="S227">
        <v>2</v>
      </c>
      <c r="T227" t="s">
        <v>28</v>
      </c>
      <c r="U227" t="s">
        <v>29</v>
      </c>
    </row>
    <row r="228" spans="1:21" x14ac:dyDescent="0.25">
      <c r="A228" t="s">
        <v>494</v>
      </c>
      <c r="B228">
        <v>23</v>
      </c>
      <c r="C228" t="s">
        <v>22</v>
      </c>
      <c r="D228" t="s">
        <v>23</v>
      </c>
      <c r="E228">
        <v>173059</v>
      </c>
      <c r="F228">
        <v>1</v>
      </c>
      <c r="G228" t="s">
        <v>495</v>
      </c>
      <c r="H228">
        <v>1332807</v>
      </c>
      <c r="I228">
        <v>12</v>
      </c>
      <c r="J228">
        <v>8.57</v>
      </c>
      <c r="K228" t="s">
        <v>44</v>
      </c>
      <c r="L228">
        <v>0</v>
      </c>
      <c r="M228">
        <v>1108570.9088099001</v>
      </c>
      <c r="N228">
        <v>92380.91</v>
      </c>
      <c r="O228" t="s">
        <v>26</v>
      </c>
      <c r="P228">
        <v>3</v>
      </c>
      <c r="Q228">
        <v>23</v>
      </c>
      <c r="R228" t="s">
        <v>34</v>
      </c>
      <c r="S228">
        <v>2</v>
      </c>
      <c r="T228" t="s">
        <v>41</v>
      </c>
      <c r="U228" t="s">
        <v>29</v>
      </c>
    </row>
    <row r="229" spans="1:21" x14ac:dyDescent="0.25">
      <c r="A229" t="s">
        <v>496</v>
      </c>
      <c r="B229">
        <v>40</v>
      </c>
      <c r="C229" t="s">
        <v>31</v>
      </c>
      <c r="D229" t="s">
        <v>23</v>
      </c>
      <c r="E229">
        <v>93714</v>
      </c>
      <c r="F229">
        <v>1</v>
      </c>
      <c r="G229" t="s">
        <v>497</v>
      </c>
      <c r="H229">
        <v>597219</v>
      </c>
      <c r="I229">
        <v>48</v>
      </c>
      <c r="J229">
        <v>16.72</v>
      </c>
      <c r="K229" t="s">
        <v>64</v>
      </c>
      <c r="L229">
        <v>425390.518631674</v>
      </c>
      <c r="M229">
        <v>113057.520135044</v>
      </c>
      <c r="N229">
        <v>2355.37</v>
      </c>
      <c r="O229" t="s">
        <v>26</v>
      </c>
      <c r="P229">
        <v>2</v>
      </c>
      <c r="Q229">
        <v>75</v>
      </c>
      <c r="R229" t="s">
        <v>34</v>
      </c>
      <c r="S229">
        <v>3</v>
      </c>
      <c r="T229" t="s">
        <v>41</v>
      </c>
      <c r="U229" t="s">
        <v>29</v>
      </c>
    </row>
    <row r="230" spans="1:21" x14ac:dyDescent="0.25">
      <c r="A230" t="s">
        <v>498</v>
      </c>
      <c r="B230">
        <v>56</v>
      </c>
      <c r="C230" t="s">
        <v>22</v>
      </c>
      <c r="D230" t="s">
        <v>23</v>
      </c>
      <c r="E230">
        <v>204420</v>
      </c>
      <c r="F230">
        <v>1</v>
      </c>
      <c r="G230" t="s">
        <v>499</v>
      </c>
      <c r="H230">
        <v>139116</v>
      </c>
      <c r="I230">
        <v>48</v>
      </c>
      <c r="J230">
        <v>7.8</v>
      </c>
      <c r="K230" t="s">
        <v>44</v>
      </c>
      <c r="L230">
        <v>0</v>
      </c>
      <c r="M230">
        <v>67579.7497917367</v>
      </c>
      <c r="N230">
        <v>1407.91</v>
      </c>
      <c r="O230" t="s">
        <v>37</v>
      </c>
      <c r="P230">
        <v>3</v>
      </c>
      <c r="Q230">
        <v>56</v>
      </c>
      <c r="R230" t="s">
        <v>34</v>
      </c>
      <c r="S230">
        <v>2</v>
      </c>
      <c r="T230" t="s">
        <v>38</v>
      </c>
      <c r="U230" t="s">
        <v>29</v>
      </c>
    </row>
    <row r="231" spans="1:21" x14ac:dyDescent="0.25">
      <c r="A231" t="s">
        <v>500</v>
      </c>
      <c r="B231">
        <v>39</v>
      </c>
      <c r="C231" t="s">
        <v>22</v>
      </c>
      <c r="D231" t="s">
        <v>58</v>
      </c>
      <c r="E231">
        <v>39596</v>
      </c>
      <c r="F231">
        <v>1</v>
      </c>
      <c r="G231" t="s">
        <v>501</v>
      </c>
      <c r="H231">
        <v>301671</v>
      </c>
      <c r="I231">
        <v>36</v>
      </c>
      <c r="J231">
        <v>16.5</v>
      </c>
      <c r="K231" t="s">
        <v>44</v>
      </c>
      <c r="L231">
        <v>0</v>
      </c>
      <c r="M231">
        <v>200807.89037759299</v>
      </c>
      <c r="N231">
        <v>5578</v>
      </c>
      <c r="O231" t="s">
        <v>26</v>
      </c>
      <c r="P231">
        <v>3</v>
      </c>
      <c r="Q231">
        <v>103</v>
      </c>
      <c r="R231" t="s">
        <v>34</v>
      </c>
      <c r="S231">
        <v>0</v>
      </c>
      <c r="T231" t="s">
        <v>28</v>
      </c>
      <c r="U231" t="s">
        <v>29</v>
      </c>
    </row>
    <row r="232" spans="1:21" x14ac:dyDescent="0.25">
      <c r="A232" t="s">
        <v>502</v>
      </c>
      <c r="B232">
        <v>46</v>
      </c>
      <c r="C232" t="s">
        <v>22</v>
      </c>
      <c r="D232" t="s">
        <v>49</v>
      </c>
      <c r="E232">
        <v>179246</v>
      </c>
      <c r="F232">
        <v>1</v>
      </c>
      <c r="G232" t="s">
        <v>503</v>
      </c>
      <c r="H232">
        <v>1940641</v>
      </c>
      <c r="I232">
        <v>36</v>
      </c>
      <c r="J232">
        <v>12.27</v>
      </c>
      <c r="K232" t="s">
        <v>25</v>
      </c>
      <c r="L232">
        <v>1194577.82367988</v>
      </c>
      <c r="M232">
        <v>569849.93863371597</v>
      </c>
      <c r="N232">
        <v>15829.16</v>
      </c>
      <c r="O232" t="s">
        <v>37</v>
      </c>
      <c r="P232">
        <v>1</v>
      </c>
      <c r="Q232">
        <v>177</v>
      </c>
      <c r="R232" t="s">
        <v>34</v>
      </c>
      <c r="S232">
        <v>1</v>
      </c>
      <c r="T232" t="s">
        <v>38</v>
      </c>
      <c r="U232" t="s">
        <v>29</v>
      </c>
    </row>
    <row r="233" spans="1:21" x14ac:dyDescent="0.25">
      <c r="A233" t="s">
        <v>504</v>
      </c>
      <c r="B233">
        <v>23</v>
      </c>
      <c r="C233" t="s">
        <v>22</v>
      </c>
      <c r="D233" t="s">
        <v>23</v>
      </c>
      <c r="E233">
        <v>79106</v>
      </c>
      <c r="F233">
        <v>1</v>
      </c>
      <c r="G233" t="s">
        <v>505</v>
      </c>
      <c r="H233">
        <v>1572494</v>
      </c>
      <c r="I233">
        <v>72</v>
      </c>
      <c r="J233">
        <v>15.77</v>
      </c>
      <c r="K233" t="s">
        <v>44</v>
      </c>
      <c r="L233">
        <v>0</v>
      </c>
      <c r="M233">
        <v>1045269.95540203</v>
      </c>
      <c r="N233">
        <v>14517.64</v>
      </c>
      <c r="O233" t="s">
        <v>26</v>
      </c>
      <c r="P233">
        <v>1</v>
      </c>
      <c r="Q233">
        <v>62</v>
      </c>
      <c r="R233" t="s">
        <v>34</v>
      </c>
      <c r="S233">
        <v>3</v>
      </c>
      <c r="T233" t="s">
        <v>28</v>
      </c>
      <c r="U233" t="s">
        <v>29</v>
      </c>
    </row>
    <row r="234" spans="1:21" x14ac:dyDescent="0.25">
      <c r="A234" t="s">
        <v>506</v>
      </c>
      <c r="B234">
        <v>39</v>
      </c>
      <c r="C234" t="s">
        <v>22</v>
      </c>
      <c r="D234" t="s">
        <v>49</v>
      </c>
      <c r="E234">
        <v>216039</v>
      </c>
      <c r="F234">
        <v>1</v>
      </c>
      <c r="G234" t="s">
        <v>507</v>
      </c>
      <c r="H234">
        <v>1674777</v>
      </c>
      <c r="I234">
        <v>72</v>
      </c>
      <c r="J234">
        <v>14.27</v>
      </c>
      <c r="K234" t="s">
        <v>44</v>
      </c>
      <c r="L234">
        <v>0</v>
      </c>
      <c r="M234">
        <v>1559717.06307321</v>
      </c>
      <c r="N234">
        <v>21662.74</v>
      </c>
      <c r="O234" t="s">
        <v>26</v>
      </c>
      <c r="P234">
        <v>2</v>
      </c>
      <c r="Q234">
        <v>78</v>
      </c>
      <c r="R234" t="s">
        <v>65</v>
      </c>
      <c r="S234">
        <v>0</v>
      </c>
      <c r="T234" t="s">
        <v>28</v>
      </c>
      <c r="U234" t="s">
        <v>79</v>
      </c>
    </row>
    <row r="235" spans="1:21" x14ac:dyDescent="0.25">
      <c r="A235" t="s">
        <v>508</v>
      </c>
      <c r="B235">
        <v>40</v>
      </c>
      <c r="C235" t="s">
        <v>31</v>
      </c>
      <c r="D235" t="s">
        <v>49</v>
      </c>
      <c r="E235">
        <v>74182</v>
      </c>
      <c r="F235">
        <v>0</v>
      </c>
      <c r="G235" t="s">
        <v>509</v>
      </c>
      <c r="H235">
        <v>824504</v>
      </c>
      <c r="I235">
        <v>60</v>
      </c>
      <c r="J235">
        <v>14.06</v>
      </c>
      <c r="K235" t="s">
        <v>44</v>
      </c>
      <c r="L235">
        <v>0</v>
      </c>
      <c r="M235">
        <v>822662.32030195603</v>
      </c>
      <c r="N235">
        <v>13711.04</v>
      </c>
      <c r="O235" t="s">
        <v>37</v>
      </c>
      <c r="P235">
        <v>1</v>
      </c>
      <c r="Q235">
        <v>169</v>
      </c>
      <c r="R235" t="s">
        <v>34</v>
      </c>
      <c r="S235">
        <v>2</v>
      </c>
      <c r="T235" t="s">
        <v>28</v>
      </c>
      <c r="U235" t="s">
        <v>29</v>
      </c>
    </row>
    <row r="236" spans="1:21" x14ac:dyDescent="0.25">
      <c r="A236" t="s">
        <v>510</v>
      </c>
      <c r="B236">
        <v>52</v>
      </c>
      <c r="C236" t="s">
        <v>22</v>
      </c>
      <c r="D236" t="s">
        <v>23</v>
      </c>
      <c r="E236">
        <v>239372</v>
      </c>
      <c r="F236">
        <v>2</v>
      </c>
      <c r="G236" t="s">
        <v>511</v>
      </c>
      <c r="H236">
        <v>1717640</v>
      </c>
      <c r="I236">
        <v>36</v>
      </c>
      <c r="J236">
        <v>9.2200000000000006</v>
      </c>
      <c r="K236" t="s">
        <v>33</v>
      </c>
      <c r="L236">
        <v>2295490.0341570498</v>
      </c>
      <c r="M236">
        <v>221929.34078486299</v>
      </c>
      <c r="N236">
        <v>6164.7</v>
      </c>
      <c r="O236" t="s">
        <v>26</v>
      </c>
      <c r="P236">
        <v>0</v>
      </c>
      <c r="Q236">
        <v>0</v>
      </c>
      <c r="R236" t="s">
        <v>27</v>
      </c>
      <c r="S236">
        <v>9</v>
      </c>
      <c r="T236" t="s">
        <v>41</v>
      </c>
      <c r="U236" t="s">
        <v>29</v>
      </c>
    </row>
    <row r="237" spans="1:21" x14ac:dyDescent="0.25">
      <c r="A237" t="s">
        <v>512</v>
      </c>
      <c r="B237">
        <v>27</v>
      </c>
      <c r="C237" t="s">
        <v>22</v>
      </c>
      <c r="D237" t="s">
        <v>49</v>
      </c>
      <c r="E237">
        <v>102163</v>
      </c>
      <c r="F237">
        <v>1</v>
      </c>
      <c r="G237" t="s">
        <v>513</v>
      </c>
      <c r="H237">
        <v>1124567</v>
      </c>
      <c r="I237">
        <v>12</v>
      </c>
      <c r="J237">
        <v>8.0399999999999991</v>
      </c>
      <c r="K237" t="s">
        <v>25</v>
      </c>
      <c r="L237">
        <v>1127339.7883567601</v>
      </c>
      <c r="M237">
        <v>350897.97236518899</v>
      </c>
      <c r="N237">
        <v>29241.5</v>
      </c>
      <c r="O237" t="s">
        <v>68</v>
      </c>
      <c r="P237">
        <v>9</v>
      </c>
      <c r="Q237">
        <v>148</v>
      </c>
      <c r="R237" t="s">
        <v>34</v>
      </c>
      <c r="S237">
        <v>1</v>
      </c>
      <c r="T237" t="s">
        <v>28</v>
      </c>
      <c r="U237" t="s">
        <v>29</v>
      </c>
    </row>
    <row r="238" spans="1:21" x14ac:dyDescent="0.25">
      <c r="A238" t="s">
        <v>514</v>
      </c>
      <c r="B238">
        <v>61</v>
      </c>
      <c r="C238" t="s">
        <v>22</v>
      </c>
      <c r="D238" t="s">
        <v>49</v>
      </c>
      <c r="E238">
        <v>54310</v>
      </c>
      <c r="F238">
        <v>2</v>
      </c>
      <c r="G238" t="s">
        <v>515</v>
      </c>
      <c r="H238">
        <v>564265</v>
      </c>
      <c r="I238">
        <v>12</v>
      </c>
      <c r="J238">
        <v>7.74</v>
      </c>
      <c r="K238" t="s">
        <v>25</v>
      </c>
      <c r="L238">
        <v>290247.328122598</v>
      </c>
      <c r="M238">
        <v>214012.40022298199</v>
      </c>
      <c r="N238">
        <v>17834.37</v>
      </c>
      <c r="O238" t="s">
        <v>68</v>
      </c>
      <c r="P238">
        <v>11</v>
      </c>
      <c r="Q238">
        <v>94</v>
      </c>
      <c r="R238" t="s">
        <v>65</v>
      </c>
      <c r="S238">
        <v>10</v>
      </c>
      <c r="T238" t="s">
        <v>28</v>
      </c>
      <c r="U238" t="s">
        <v>79</v>
      </c>
    </row>
    <row r="239" spans="1:21" x14ac:dyDescent="0.25">
      <c r="A239" t="s">
        <v>516</v>
      </c>
      <c r="B239">
        <v>53</v>
      </c>
      <c r="C239" t="s">
        <v>22</v>
      </c>
      <c r="D239" t="s">
        <v>23</v>
      </c>
      <c r="E239">
        <v>71088</v>
      </c>
      <c r="F239">
        <v>1</v>
      </c>
      <c r="G239" t="s">
        <v>517</v>
      </c>
      <c r="H239">
        <v>1808781</v>
      </c>
      <c r="I239">
        <v>36</v>
      </c>
      <c r="J239">
        <v>16.14</v>
      </c>
      <c r="K239" t="s">
        <v>25</v>
      </c>
      <c r="L239">
        <v>2356807.8211631798</v>
      </c>
      <c r="M239">
        <v>830616.63638005196</v>
      </c>
      <c r="N239">
        <v>23072.68</v>
      </c>
      <c r="O239" t="s">
        <v>26</v>
      </c>
      <c r="P239">
        <v>0</v>
      </c>
      <c r="Q239">
        <v>0</v>
      </c>
      <c r="R239" t="s">
        <v>34</v>
      </c>
      <c r="S239">
        <v>0</v>
      </c>
      <c r="T239" t="s">
        <v>28</v>
      </c>
      <c r="U239" t="s">
        <v>29</v>
      </c>
    </row>
    <row r="240" spans="1:21" x14ac:dyDescent="0.25">
      <c r="A240" t="s">
        <v>518</v>
      </c>
      <c r="B240">
        <v>60</v>
      </c>
      <c r="C240" t="s">
        <v>31</v>
      </c>
      <c r="D240" t="s">
        <v>23</v>
      </c>
      <c r="E240">
        <v>143803</v>
      </c>
      <c r="F240">
        <v>1</v>
      </c>
      <c r="G240" t="s">
        <v>519</v>
      </c>
      <c r="H240">
        <v>678380</v>
      </c>
      <c r="I240">
        <v>12</v>
      </c>
      <c r="J240">
        <v>15.67</v>
      </c>
      <c r="K240" t="s">
        <v>44</v>
      </c>
      <c r="L240">
        <v>0</v>
      </c>
      <c r="M240">
        <v>215746.16950611901</v>
      </c>
      <c r="N240">
        <v>17978.849999999999</v>
      </c>
      <c r="O240" t="s">
        <v>26</v>
      </c>
      <c r="P240">
        <v>2</v>
      </c>
      <c r="Q240">
        <v>121</v>
      </c>
      <c r="R240" t="s">
        <v>65</v>
      </c>
      <c r="S240">
        <v>10</v>
      </c>
      <c r="T240" t="s">
        <v>45</v>
      </c>
      <c r="U240" t="s">
        <v>79</v>
      </c>
    </row>
    <row r="241" spans="1:21" x14ac:dyDescent="0.25">
      <c r="A241" t="s">
        <v>520</v>
      </c>
      <c r="B241">
        <v>59</v>
      </c>
      <c r="C241" t="s">
        <v>22</v>
      </c>
      <c r="D241" t="s">
        <v>23</v>
      </c>
      <c r="E241">
        <v>154978</v>
      </c>
      <c r="F241">
        <v>0</v>
      </c>
      <c r="G241" t="s">
        <v>521</v>
      </c>
      <c r="H241">
        <v>279577</v>
      </c>
      <c r="I241">
        <v>12</v>
      </c>
      <c r="J241">
        <v>10.73</v>
      </c>
      <c r="K241" t="s">
        <v>64</v>
      </c>
      <c r="L241">
        <v>413995.889736393</v>
      </c>
      <c r="M241">
        <v>79159.206748411496</v>
      </c>
      <c r="N241">
        <v>6596.6</v>
      </c>
      <c r="O241" t="s">
        <v>68</v>
      </c>
      <c r="P241">
        <v>0</v>
      </c>
      <c r="Q241">
        <v>0</v>
      </c>
      <c r="R241" t="s">
        <v>27</v>
      </c>
      <c r="S241">
        <v>7</v>
      </c>
      <c r="T241" t="s">
        <v>41</v>
      </c>
      <c r="U241" t="s">
        <v>29</v>
      </c>
    </row>
    <row r="242" spans="1:21" x14ac:dyDescent="0.25">
      <c r="A242" t="s">
        <v>522</v>
      </c>
      <c r="B242">
        <v>38</v>
      </c>
      <c r="C242" t="s">
        <v>22</v>
      </c>
      <c r="D242" t="s">
        <v>23</v>
      </c>
      <c r="E242">
        <v>51914</v>
      </c>
      <c r="F242">
        <v>3</v>
      </c>
      <c r="G242" t="s">
        <v>523</v>
      </c>
      <c r="H242">
        <v>760672</v>
      </c>
      <c r="I242">
        <v>72</v>
      </c>
      <c r="J242">
        <v>6.72</v>
      </c>
      <c r="K242" t="s">
        <v>44</v>
      </c>
      <c r="L242">
        <v>0</v>
      </c>
      <c r="M242">
        <v>729559.34237746405</v>
      </c>
      <c r="N242">
        <v>10132.77</v>
      </c>
      <c r="O242" t="s">
        <v>68</v>
      </c>
      <c r="P242">
        <v>0</v>
      </c>
      <c r="Q242">
        <v>0</v>
      </c>
      <c r="R242" t="s">
        <v>34</v>
      </c>
      <c r="S242">
        <v>2</v>
      </c>
      <c r="T242" t="s">
        <v>45</v>
      </c>
      <c r="U242" t="s">
        <v>29</v>
      </c>
    </row>
    <row r="243" spans="1:21" x14ac:dyDescent="0.25">
      <c r="A243" t="s">
        <v>524</v>
      </c>
      <c r="B243">
        <v>60</v>
      </c>
      <c r="C243" t="s">
        <v>31</v>
      </c>
      <c r="D243" t="s">
        <v>23</v>
      </c>
      <c r="E243">
        <v>125350</v>
      </c>
      <c r="F243">
        <v>3</v>
      </c>
      <c r="G243" t="s">
        <v>525</v>
      </c>
      <c r="H243">
        <v>453777</v>
      </c>
      <c r="I243">
        <v>60</v>
      </c>
      <c r="J243">
        <v>9.9700000000000006</v>
      </c>
      <c r="K243" t="s">
        <v>64</v>
      </c>
      <c r="L243">
        <v>501843.87117649103</v>
      </c>
      <c r="M243">
        <v>420501.27960635797</v>
      </c>
      <c r="N243">
        <v>7008.35</v>
      </c>
      <c r="O243" t="s">
        <v>26</v>
      </c>
      <c r="P243">
        <v>3</v>
      </c>
      <c r="Q243">
        <v>141</v>
      </c>
      <c r="R243" t="s">
        <v>27</v>
      </c>
      <c r="S243">
        <v>10</v>
      </c>
      <c r="T243" t="s">
        <v>41</v>
      </c>
      <c r="U243" t="s">
        <v>29</v>
      </c>
    </row>
    <row r="244" spans="1:21" x14ac:dyDescent="0.25">
      <c r="A244" t="s">
        <v>526</v>
      </c>
      <c r="B244">
        <v>21</v>
      </c>
      <c r="C244" t="s">
        <v>22</v>
      </c>
      <c r="D244" t="s">
        <v>49</v>
      </c>
      <c r="E244">
        <v>60379</v>
      </c>
      <c r="F244">
        <v>0</v>
      </c>
      <c r="G244" t="s">
        <v>527</v>
      </c>
      <c r="H244">
        <v>1859977</v>
      </c>
      <c r="I244">
        <v>36</v>
      </c>
      <c r="J244">
        <v>13.05</v>
      </c>
      <c r="K244" t="s">
        <v>25</v>
      </c>
      <c r="L244">
        <v>1866874.5146834699</v>
      </c>
      <c r="M244">
        <v>264662.17393444799</v>
      </c>
      <c r="N244">
        <v>7351.73</v>
      </c>
      <c r="O244" t="s">
        <v>37</v>
      </c>
      <c r="P244">
        <v>1</v>
      </c>
      <c r="Q244">
        <v>135</v>
      </c>
      <c r="R244" t="s">
        <v>34</v>
      </c>
      <c r="S244">
        <v>3</v>
      </c>
      <c r="T244" t="s">
        <v>38</v>
      </c>
      <c r="U244" t="s">
        <v>29</v>
      </c>
    </row>
    <row r="245" spans="1:21" x14ac:dyDescent="0.25">
      <c r="A245" t="s">
        <v>528</v>
      </c>
      <c r="B245">
        <v>31</v>
      </c>
      <c r="C245" t="s">
        <v>31</v>
      </c>
      <c r="D245" t="s">
        <v>23</v>
      </c>
      <c r="E245">
        <v>224684</v>
      </c>
      <c r="F245">
        <v>2</v>
      </c>
      <c r="G245" t="s">
        <v>529</v>
      </c>
      <c r="H245">
        <v>145556</v>
      </c>
      <c r="I245">
        <v>24</v>
      </c>
      <c r="J245">
        <v>10.91</v>
      </c>
      <c r="K245" t="s">
        <v>64</v>
      </c>
      <c r="L245">
        <v>200636.69936137201</v>
      </c>
      <c r="M245">
        <v>58940.241355443803</v>
      </c>
      <c r="N245">
        <v>2455.84</v>
      </c>
      <c r="O245" t="s">
        <v>26</v>
      </c>
      <c r="P245">
        <v>0</v>
      </c>
      <c r="Q245">
        <v>0</v>
      </c>
      <c r="R245" t="s">
        <v>34</v>
      </c>
      <c r="S245">
        <v>0</v>
      </c>
      <c r="T245" t="s">
        <v>45</v>
      </c>
      <c r="U245" t="s">
        <v>29</v>
      </c>
    </row>
    <row r="246" spans="1:21" x14ac:dyDescent="0.25">
      <c r="A246" t="s">
        <v>530</v>
      </c>
      <c r="B246">
        <v>48</v>
      </c>
      <c r="C246" t="s">
        <v>22</v>
      </c>
      <c r="D246" t="s">
        <v>23</v>
      </c>
      <c r="E246">
        <v>183722</v>
      </c>
      <c r="F246">
        <v>3</v>
      </c>
      <c r="G246" t="s">
        <v>531</v>
      </c>
      <c r="H246">
        <v>1947883</v>
      </c>
      <c r="I246">
        <v>48</v>
      </c>
      <c r="J246">
        <v>15.14</v>
      </c>
      <c r="K246" t="s">
        <v>44</v>
      </c>
      <c r="L246">
        <v>0</v>
      </c>
      <c r="M246">
        <v>905052.08216628002</v>
      </c>
      <c r="N246">
        <v>18855.25</v>
      </c>
      <c r="O246" t="s">
        <v>26</v>
      </c>
      <c r="P246">
        <v>0</v>
      </c>
      <c r="Q246">
        <v>0</v>
      </c>
      <c r="R246" t="s">
        <v>27</v>
      </c>
      <c r="S246">
        <v>2</v>
      </c>
      <c r="T246" t="s">
        <v>38</v>
      </c>
      <c r="U246" t="s">
        <v>29</v>
      </c>
    </row>
    <row r="247" spans="1:21" x14ac:dyDescent="0.25">
      <c r="A247" t="s">
        <v>532</v>
      </c>
      <c r="B247">
        <v>45</v>
      </c>
      <c r="C247" t="s">
        <v>31</v>
      </c>
      <c r="D247" t="s">
        <v>58</v>
      </c>
      <c r="E247">
        <v>192953</v>
      </c>
      <c r="F247">
        <v>0</v>
      </c>
      <c r="G247" t="s">
        <v>533</v>
      </c>
      <c r="H247">
        <v>1255565</v>
      </c>
      <c r="I247">
        <v>12</v>
      </c>
      <c r="J247">
        <v>17.97</v>
      </c>
      <c r="K247" t="s">
        <v>25</v>
      </c>
      <c r="L247">
        <v>1823729.24304034</v>
      </c>
      <c r="M247">
        <v>395644.95579606103</v>
      </c>
      <c r="N247">
        <v>32970.410000000003</v>
      </c>
      <c r="O247" t="s">
        <v>37</v>
      </c>
      <c r="P247">
        <v>1</v>
      </c>
      <c r="Q247">
        <v>88</v>
      </c>
      <c r="R247" t="s">
        <v>65</v>
      </c>
      <c r="S247">
        <v>0</v>
      </c>
      <c r="T247" t="s">
        <v>28</v>
      </c>
      <c r="U247" t="s">
        <v>29</v>
      </c>
    </row>
    <row r="248" spans="1:21" x14ac:dyDescent="0.25">
      <c r="A248" t="s">
        <v>534</v>
      </c>
      <c r="B248">
        <v>43</v>
      </c>
      <c r="C248" t="s">
        <v>22</v>
      </c>
      <c r="D248" t="s">
        <v>49</v>
      </c>
      <c r="E248">
        <v>61413</v>
      </c>
      <c r="F248">
        <v>0</v>
      </c>
      <c r="G248" t="s">
        <v>535</v>
      </c>
      <c r="H248">
        <v>1422840</v>
      </c>
      <c r="I248">
        <v>72</v>
      </c>
      <c r="J248">
        <v>7.48</v>
      </c>
      <c r="K248" t="s">
        <v>44</v>
      </c>
      <c r="L248">
        <v>0</v>
      </c>
      <c r="M248">
        <v>947590.96147559001</v>
      </c>
      <c r="N248">
        <v>13160.99</v>
      </c>
      <c r="O248" t="s">
        <v>26</v>
      </c>
      <c r="P248">
        <v>0</v>
      </c>
      <c r="Q248">
        <v>0</v>
      </c>
      <c r="R248" t="s">
        <v>34</v>
      </c>
      <c r="S248">
        <v>0</v>
      </c>
      <c r="T248" t="s">
        <v>38</v>
      </c>
      <c r="U248" t="s">
        <v>29</v>
      </c>
    </row>
    <row r="249" spans="1:21" x14ac:dyDescent="0.25">
      <c r="A249" t="s">
        <v>536</v>
      </c>
      <c r="B249">
        <v>51</v>
      </c>
      <c r="C249" t="s">
        <v>31</v>
      </c>
      <c r="D249" t="s">
        <v>23</v>
      </c>
      <c r="E249">
        <v>152084</v>
      </c>
      <c r="F249">
        <v>3</v>
      </c>
      <c r="G249" t="s">
        <v>537</v>
      </c>
      <c r="H249">
        <v>445204</v>
      </c>
      <c r="I249">
        <v>36</v>
      </c>
      <c r="J249">
        <v>10.98</v>
      </c>
      <c r="K249" t="s">
        <v>44</v>
      </c>
      <c r="L249">
        <v>0</v>
      </c>
      <c r="M249">
        <v>301110.46293610201</v>
      </c>
      <c r="N249">
        <v>8364.18</v>
      </c>
      <c r="O249" t="s">
        <v>68</v>
      </c>
      <c r="P249">
        <v>9</v>
      </c>
      <c r="Q249">
        <v>108</v>
      </c>
      <c r="R249" t="s">
        <v>34</v>
      </c>
      <c r="S249">
        <v>2</v>
      </c>
      <c r="T249" t="s">
        <v>38</v>
      </c>
      <c r="U249" t="s">
        <v>29</v>
      </c>
    </row>
    <row r="250" spans="1:21" x14ac:dyDescent="0.25">
      <c r="A250" t="s">
        <v>538</v>
      </c>
      <c r="B250">
        <v>50</v>
      </c>
      <c r="C250" t="s">
        <v>22</v>
      </c>
      <c r="D250" t="s">
        <v>23</v>
      </c>
      <c r="E250">
        <v>196187</v>
      </c>
      <c r="F250">
        <v>2</v>
      </c>
      <c r="G250" t="s">
        <v>539</v>
      </c>
      <c r="H250">
        <v>1605537</v>
      </c>
      <c r="I250">
        <v>36</v>
      </c>
      <c r="J250">
        <v>10.6</v>
      </c>
      <c r="K250" t="s">
        <v>25</v>
      </c>
      <c r="L250">
        <v>2014205.4363472899</v>
      </c>
      <c r="M250">
        <v>1389518.1065142101</v>
      </c>
      <c r="N250">
        <v>38597.730000000003</v>
      </c>
      <c r="O250" t="s">
        <v>26</v>
      </c>
      <c r="P250">
        <v>0</v>
      </c>
      <c r="Q250">
        <v>0</v>
      </c>
      <c r="R250" t="s">
        <v>27</v>
      </c>
      <c r="S250">
        <v>7</v>
      </c>
      <c r="T250" t="s">
        <v>38</v>
      </c>
      <c r="U250" t="s">
        <v>29</v>
      </c>
    </row>
    <row r="251" spans="1:21" x14ac:dyDescent="0.25">
      <c r="A251" t="s">
        <v>540</v>
      </c>
      <c r="B251">
        <v>62</v>
      </c>
      <c r="C251" t="s">
        <v>22</v>
      </c>
      <c r="D251" t="s">
        <v>23</v>
      </c>
      <c r="E251">
        <v>22151</v>
      </c>
      <c r="F251">
        <v>0</v>
      </c>
      <c r="G251" t="s">
        <v>541</v>
      </c>
      <c r="H251">
        <v>1995049</v>
      </c>
      <c r="I251">
        <v>36</v>
      </c>
      <c r="J251">
        <v>8.9600000000000009</v>
      </c>
      <c r="K251" t="s">
        <v>44</v>
      </c>
      <c r="L251">
        <v>0</v>
      </c>
      <c r="M251">
        <v>1529768.34372039</v>
      </c>
      <c r="N251">
        <v>42493.57</v>
      </c>
      <c r="O251" t="s">
        <v>37</v>
      </c>
      <c r="P251">
        <v>1</v>
      </c>
      <c r="Q251">
        <v>140</v>
      </c>
      <c r="R251" t="s">
        <v>27</v>
      </c>
      <c r="S251">
        <v>1</v>
      </c>
      <c r="T251" t="s">
        <v>38</v>
      </c>
      <c r="U251" t="s">
        <v>29</v>
      </c>
    </row>
    <row r="252" spans="1:21" x14ac:dyDescent="0.25">
      <c r="A252" t="s">
        <v>542</v>
      </c>
      <c r="B252">
        <v>55</v>
      </c>
      <c r="C252" t="s">
        <v>22</v>
      </c>
      <c r="D252" t="s">
        <v>49</v>
      </c>
      <c r="E252">
        <v>72716</v>
      </c>
      <c r="F252">
        <v>1</v>
      </c>
      <c r="G252" t="s">
        <v>543</v>
      </c>
      <c r="H252">
        <v>702755</v>
      </c>
      <c r="I252">
        <v>12</v>
      </c>
      <c r="J252">
        <v>7.58</v>
      </c>
      <c r="K252" t="s">
        <v>25</v>
      </c>
      <c r="L252">
        <v>664421.77363541897</v>
      </c>
      <c r="M252">
        <v>413442.00655276398</v>
      </c>
      <c r="N252">
        <v>34453.5</v>
      </c>
      <c r="O252" t="s">
        <v>26</v>
      </c>
      <c r="P252">
        <v>3</v>
      </c>
      <c r="Q252">
        <v>84</v>
      </c>
      <c r="R252" t="s">
        <v>27</v>
      </c>
      <c r="S252">
        <v>1</v>
      </c>
      <c r="T252" t="s">
        <v>41</v>
      </c>
      <c r="U252" t="s">
        <v>29</v>
      </c>
    </row>
    <row r="253" spans="1:21" x14ac:dyDescent="0.25">
      <c r="A253" t="s">
        <v>544</v>
      </c>
      <c r="B253">
        <v>27</v>
      </c>
      <c r="C253" t="s">
        <v>31</v>
      </c>
      <c r="D253" t="s">
        <v>23</v>
      </c>
      <c r="E253">
        <v>108747</v>
      </c>
      <c r="F253">
        <v>2</v>
      </c>
      <c r="G253" t="s">
        <v>545</v>
      </c>
      <c r="H253">
        <v>1619192</v>
      </c>
      <c r="I253">
        <v>48</v>
      </c>
      <c r="J253">
        <v>5.85</v>
      </c>
      <c r="K253" t="s">
        <v>44</v>
      </c>
      <c r="L253">
        <v>0</v>
      </c>
      <c r="M253">
        <v>1114373.42242559</v>
      </c>
      <c r="N253">
        <v>23216.11</v>
      </c>
      <c r="O253" t="s">
        <v>26</v>
      </c>
      <c r="P253">
        <v>0</v>
      </c>
      <c r="Q253">
        <v>0</v>
      </c>
      <c r="R253" t="s">
        <v>27</v>
      </c>
      <c r="S253">
        <v>3</v>
      </c>
      <c r="T253" t="s">
        <v>45</v>
      </c>
      <c r="U253" t="s">
        <v>29</v>
      </c>
    </row>
    <row r="254" spans="1:21" x14ac:dyDescent="0.25">
      <c r="A254" t="s">
        <v>546</v>
      </c>
      <c r="B254">
        <v>36</v>
      </c>
      <c r="C254" t="s">
        <v>31</v>
      </c>
      <c r="D254" t="s">
        <v>23</v>
      </c>
      <c r="E254">
        <v>238725</v>
      </c>
      <c r="F254">
        <v>2</v>
      </c>
      <c r="G254" t="s">
        <v>547</v>
      </c>
      <c r="H254">
        <v>1506048</v>
      </c>
      <c r="I254">
        <v>60</v>
      </c>
      <c r="J254">
        <v>16.53</v>
      </c>
      <c r="K254" t="s">
        <v>44</v>
      </c>
      <c r="L254">
        <v>0</v>
      </c>
      <c r="M254">
        <v>521981.03081876901</v>
      </c>
      <c r="N254">
        <v>8699.68</v>
      </c>
      <c r="O254" t="s">
        <v>37</v>
      </c>
      <c r="P254">
        <v>1</v>
      </c>
      <c r="Q254">
        <v>90</v>
      </c>
      <c r="R254" t="s">
        <v>34</v>
      </c>
      <c r="S254">
        <v>1</v>
      </c>
      <c r="T254" t="s">
        <v>41</v>
      </c>
      <c r="U254" t="s">
        <v>29</v>
      </c>
    </row>
    <row r="255" spans="1:21" x14ac:dyDescent="0.25">
      <c r="A255" t="s">
        <v>548</v>
      </c>
      <c r="B255">
        <v>46</v>
      </c>
      <c r="C255" t="s">
        <v>31</v>
      </c>
      <c r="D255" t="s">
        <v>58</v>
      </c>
      <c r="E255">
        <v>182450</v>
      </c>
      <c r="F255">
        <v>3</v>
      </c>
      <c r="G255" t="s">
        <v>549</v>
      </c>
      <c r="H255">
        <v>1479210</v>
      </c>
      <c r="I255">
        <v>60</v>
      </c>
      <c r="J255">
        <v>10.46</v>
      </c>
      <c r="K255" t="s">
        <v>33</v>
      </c>
      <c r="L255">
        <v>1615624.81610506</v>
      </c>
      <c r="M255">
        <v>937450.182085454</v>
      </c>
      <c r="N255">
        <v>15624.17</v>
      </c>
      <c r="O255" t="s">
        <v>26</v>
      </c>
      <c r="P255">
        <v>0</v>
      </c>
      <c r="Q255">
        <v>0</v>
      </c>
      <c r="R255" t="s">
        <v>65</v>
      </c>
      <c r="S255">
        <v>6</v>
      </c>
      <c r="T255" t="s">
        <v>41</v>
      </c>
      <c r="U255" t="s">
        <v>29</v>
      </c>
    </row>
    <row r="256" spans="1:21" x14ac:dyDescent="0.25">
      <c r="A256" t="s">
        <v>550</v>
      </c>
      <c r="B256">
        <v>22</v>
      </c>
      <c r="C256" t="s">
        <v>22</v>
      </c>
      <c r="D256" t="s">
        <v>23</v>
      </c>
      <c r="E256">
        <v>188724</v>
      </c>
      <c r="F256">
        <v>3</v>
      </c>
      <c r="G256" t="s">
        <v>551</v>
      </c>
      <c r="H256">
        <v>793088</v>
      </c>
      <c r="I256">
        <v>24</v>
      </c>
      <c r="J256">
        <v>11.46</v>
      </c>
      <c r="K256" t="s">
        <v>25</v>
      </c>
      <c r="L256">
        <v>952447.42677139502</v>
      </c>
      <c r="M256">
        <v>428509.03851359402</v>
      </c>
      <c r="N256">
        <v>17854.54</v>
      </c>
      <c r="O256" t="s">
        <v>26</v>
      </c>
      <c r="P256">
        <v>0</v>
      </c>
      <c r="Q256">
        <v>0</v>
      </c>
      <c r="R256" t="s">
        <v>34</v>
      </c>
      <c r="S256">
        <v>3</v>
      </c>
      <c r="T256" t="s">
        <v>41</v>
      </c>
      <c r="U256" t="s">
        <v>29</v>
      </c>
    </row>
    <row r="257" spans="1:21" x14ac:dyDescent="0.25">
      <c r="A257" t="s">
        <v>552</v>
      </c>
      <c r="B257">
        <v>21</v>
      </c>
      <c r="C257" t="s">
        <v>31</v>
      </c>
      <c r="D257" t="s">
        <v>49</v>
      </c>
      <c r="E257">
        <v>218502</v>
      </c>
      <c r="F257">
        <v>1</v>
      </c>
      <c r="G257" t="s">
        <v>553</v>
      </c>
      <c r="H257">
        <v>700443</v>
      </c>
      <c r="I257">
        <v>48</v>
      </c>
      <c r="J257">
        <v>16.920000000000002</v>
      </c>
      <c r="K257" t="s">
        <v>25</v>
      </c>
      <c r="L257">
        <v>486299.06289321498</v>
      </c>
      <c r="M257">
        <v>154104.47884843199</v>
      </c>
      <c r="N257">
        <v>3210.51</v>
      </c>
      <c r="O257" t="s">
        <v>26</v>
      </c>
      <c r="P257">
        <v>3</v>
      </c>
      <c r="Q257">
        <v>179</v>
      </c>
      <c r="R257" t="s">
        <v>34</v>
      </c>
      <c r="S257">
        <v>2</v>
      </c>
      <c r="T257" t="s">
        <v>38</v>
      </c>
      <c r="U257" t="s">
        <v>29</v>
      </c>
    </row>
    <row r="258" spans="1:21" x14ac:dyDescent="0.25">
      <c r="A258" t="s">
        <v>554</v>
      </c>
      <c r="B258">
        <v>32</v>
      </c>
      <c r="C258" t="s">
        <v>22</v>
      </c>
      <c r="D258" t="s">
        <v>58</v>
      </c>
      <c r="E258">
        <v>159539</v>
      </c>
      <c r="F258">
        <v>0</v>
      </c>
      <c r="G258" t="s">
        <v>555</v>
      </c>
      <c r="H258">
        <v>1388950</v>
      </c>
      <c r="I258">
        <v>48</v>
      </c>
      <c r="J258">
        <v>15.09</v>
      </c>
      <c r="K258" t="s">
        <v>25</v>
      </c>
      <c r="L258">
        <v>1315614.8736970201</v>
      </c>
      <c r="M258">
        <v>442088.68566392601</v>
      </c>
      <c r="N258">
        <v>9210.18</v>
      </c>
      <c r="O258" t="s">
        <v>26</v>
      </c>
      <c r="P258">
        <v>2</v>
      </c>
      <c r="Q258">
        <v>116</v>
      </c>
      <c r="R258" t="s">
        <v>34</v>
      </c>
      <c r="S258">
        <v>3</v>
      </c>
      <c r="T258" t="s">
        <v>41</v>
      </c>
      <c r="U258" t="s">
        <v>29</v>
      </c>
    </row>
    <row r="259" spans="1:21" x14ac:dyDescent="0.25">
      <c r="A259" t="s">
        <v>556</v>
      </c>
      <c r="B259">
        <v>25</v>
      </c>
      <c r="C259" t="s">
        <v>22</v>
      </c>
      <c r="D259" t="s">
        <v>23</v>
      </c>
      <c r="E259">
        <v>177082</v>
      </c>
      <c r="F259">
        <v>3</v>
      </c>
      <c r="G259" t="s">
        <v>557</v>
      </c>
      <c r="H259">
        <v>548682</v>
      </c>
      <c r="I259">
        <v>72</v>
      </c>
      <c r="J259">
        <v>6.7</v>
      </c>
      <c r="K259" t="s">
        <v>33</v>
      </c>
      <c r="L259">
        <v>729648.991167609</v>
      </c>
      <c r="M259">
        <v>198910.451335939</v>
      </c>
      <c r="N259">
        <v>2762.65</v>
      </c>
      <c r="O259" t="s">
        <v>37</v>
      </c>
      <c r="P259">
        <v>2</v>
      </c>
      <c r="Q259">
        <v>69</v>
      </c>
      <c r="R259" t="s">
        <v>34</v>
      </c>
      <c r="S259">
        <v>1</v>
      </c>
      <c r="T259" t="s">
        <v>45</v>
      </c>
      <c r="U259" t="s">
        <v>29</v>
      </c>
    </row>
    <row r="260" spans="1:21" x14ac:dyDescent="0.25">
      <c r="A260" t="s">
        <v>558</v>
      </c>
      <c r="B260">
        <v>57</v>
      </c>
      <c r="C260" t="s">
        <v>22</v>
      </c>
      <c r="D260" t="s">
        <v>49</v>
      </c>
      <c r="E260">
        <v>136999</v>
      </c>
      <c r="F260">
        <v>3</v>
      </c>
      <c r="G260" t="s">
        <v>559</v>
      </c>
      <c r="H260">
        <v>109778</v>
      </c>
      <c r="I260">
        <v>36</v>
      </c>
      <c r="J260">
        <v>12.35</v>
      </c>
      <c r="K260" t="s">
        <v>44</v>
      </c>
      <c r="L260">
        <v>0</v>
      </c>
      <c r="M260">
        <v>102299.770086706</v>
      </c>
      <c r="N260">
        <v>2841.66</v>
      </c>
      <c r="O260" t="s">
        <v>26</v>
      </c>
      <c r="P260">
        <v>1</v>
      </c>
      <c r="Q260">
        <v>78</v>
      </c>
      <c r="R260" t="s">
        <v>34</v>
      </c>
      <c r="S260">
        <v>3</v>
      </c>
      <c r="T260" t="s">
        <v>41</v>
      </c>
      <c r="U260" t="s">
        <v>29</v>
      </c>
    </row>
    <row r="261" spans="1:21" x14ac:dyDescent="0.25">
      <c r="A261" t="s">
        <v>560</v>
      </c>
      <c r="B261">
        <v>52</v>
      </c>
      <c r="C261" t="s">
        <v>31</v>
      </c>
      <c r="D261" t="s">
        <v>23</v>
      </c>
      <c r="E261">
        <v>129793</v>
      </c>
      <c r="F261">
        <v>2</v>
      </c>
      <c r="G261" t="s">
        <v>561</v>
      </c>
      <c r="H261">
        <v>1144409</v>
      </c>
      <c r="I261">
        <v>36</v>
      </c>
      <c r="J261">
        <v>10.75</v>
      </c>
      <c r="K261" t="s">
        <v>25</v>
      </c>
      <c r="L261">
        <v>1321478.08134975</v>
      </c>
      <c r="M261">
        <v>351731.78923366999</v>
      </c>
      <c r="N261">
        <v>9770.33</v>
      </c>
      <c r="O261" t="s">
        <v>26</v>
      </c>
      <c r="P261">
        <v>2</v>
      </c>
      <c r="Q261">
        <v>64</v>
      </c>
      <c r="R261" t="s">
        <v>27</v>
      </c>
      <c r="S261">
        <v>10</v>
      </c>
      <c r="T261" t="s">
        <v>28</v>
      </c>
      <c r="U261" t="s">
        <v>29</v>
      </c>
    </row>
    <row r="262" spans="1:21" x14ac:dyDescent="0.25">
      <c r="A262" t="s">
        <v>562</v>
      </c>
      <c r="B262">
        <v>29</v>
      </c>
      <c r="C262" t="s">
        <v>22</v>
      </c>
      <c r="D262" t="s">
        <v>58</v>
      </c>
      <c r="E262">
        <v>200763</v>
      </c>
      <c r="F262">
        <v>3</v>
      </c>
      <c r="G262" t="s">
        <v>563</v>
      </c>
      <c r="H262">
        <v>859057</v>
      </c>
      <c r="I262">
        <v>48</v>
      </c>
      <c r="J262">
        <v>15.36</v>
      </c>
      <c r="K262" t="s">
        <v>64</v>
      </c>
      <c r="L262">
        <v>782776.23236681405</v>
      </c>
      <c r="M262">
        <v>309534.99948210001</v>
      </c>
      <c r="N262">
        <v>6448.65</v>
      </c>
      <c r="O262" t="s">
        <v>26</v>
      </c>
      <c r="P262">
        <v>1</v>
      </c>
      <c r="Q262">
        <v>59</v>
      </c>
      <c r="R262" t="s">
        <v>34</v>
      </c>
      <c r="S262">
        <v>0</v>
      </c>
      <c r="T262" t="s">
        <v>38</v>
      </c>
      <c r="U262" t="s">
        <v>29</v>
      </c>
    </row>
    <row r="263" spans="1:21" x14ac:dyDescent="0.25">
      <c r="A263" t="s">
        <v>564</v>
      </c>
      <c r="B263">
        <v>61</v>
      </c>
      <c r="C263" t="s">
        <v>22</v>
      </c>
      <c r="D263" t="s">
        <v>23</v>
      </c>
      <c r="E263">
        <v>210229</v>
      </c>
      <c r="F263">
        <v>3</v>
      </c>
      <c r="G263" t="s">
        <v>565</v>
      </c>
      <c r="H263">
        <v>606376</v>
      </c>
      <c r="I263">
        <v>48</v>
      </c>
      <c r="J263">
        <v>14.42</v>
      </c>
      <c r="K263" t="s">
        <v>33</v>
      </c>
      <c r="L263">
        <v>705435.11992568604</v>
      </c>
      <c r="M263">
        <v>262208.33198839898</v>
      </c>
      <c r="N263">
        <v>5462.67</v>
      </c>
      <c r="O263" t="s">
        <v>26</v>
      </c>
      <c r="P263">
        <v>2</v>
      </c>
      <c r="Q263">
        <v>30</v>
      </c>
      <c r="R263" t="s">
        <v>34</v>
      </c>
      <c r="S263">
        <v>3</v>
      </c>
      <c r="T263" t="s">
        <v>28</v>
      </c>
      <c r="U263" t="s">
        <v>29</v>
      </c>
    </row>
    <row r="264" spans="1:21" x14ac:dyDescent="0.25">
      <c r="A264" t="s">
        <v>566</v>
      </c>
      <c r="B264">
        <v>55</v>
      </c>
      <c r="C264" t="s">
        <v>31</v>
      </c>
      <c r="D264" t="s">
        <v>49</v>
      </c>
      <c r="E264">
        <v>123177</v>
      </c>
      <c r="F264">
        <v>3</v>
      </c>
      <c r="G264" t="s">
        <v>567</v>
      </c>
      <c r="H264">
        <v>1833586</v>
      </c>
      <c r="I264">
        <v>48</v>
      </c>
      <c r="J264">
        <v>13.98</v>
      </c>
      <c r="K264" t="s">
        <v>25</v>
      </c>
      <c r="L264">
        <v>1133563.9596622901</v>
      </c>
      <c r="M264">
        <v>1278685.0538306499</v>
      </c>
      <c r="N264">
        <v>26639.27</v>
      </c>
      <c r="O264" t="s">
        <v>26</v>
      </c>
      <c r="P264">
        <v>3</v>
      </c>
      <c r="Q264">
        <v>49</v>
      </c>
      <c r="R264" t="s">
        <v>27</v>
      </c>
      <c r="S264">
        <v>9</v>
      </c>
      <c r="T264" t="s">
        <v>45</v>
      </c>
      <c r="U264" t="s">
        <v>29</v>
      </c>
    </row>
    <row r="265" spans="1:21" x14ac:dyDescent="0.25">
      <c r="A265" t="s">
        <v>568</v>
      </c>
      <c r="B265">
        <v>39</v>
      </c>
      <c r="C265" t="s">
        <v>22</v>
      </c>
      <c r="D265" t="s">
        <v>23</v>
      </c>
      <c r="E265">
        <v>27289</v>
      </c>
      <c r="F265">
        <v>3</v>
      </c>
      <c r="G265" t="s">
        <v>569</v>
      </c>
      <c r="H265">
        <v>1464657</v>
      </c>
      <c r="I265">
        <v>36</v>
      </c>
      <c r="J265">
        <v>9.43</v>
      </c>
      <c r="K265" t="s">
        <v>25</v>
      </c>
      <c r="L265">
        <v>1320384.7857971201</v>
      </c>
      <c r="M265">
        <v>302326.52028276102</v>
      </c>
      <c r="N265">
        <v>8397.9599999999991</v>
      </c>
      <c r="O265" t="s">
        <v>26</v>
      </c>
      <c r="P265">
        <v>1</v>
      </c>
      <c r="Q265">
        <v>80</v>
      </c>
      <c r="R265" t="s">
        <v>34</v>
      </c>
      <c r="S265">
        <v>3</v>
      </c>
      <c r="T265" t="s">
        <v>45</v>
      </c>
      <c r="U265" t="s">
        <v>29</v>
      </c>
    </row>
    <row r="266" spans="1:21" x14ac:dyDescent="0.25">
      <c r="A266" t="s">
        <v>570</v>
      </c>
      <c r="B266">
        <v>36</v>
      </c>
      <c r="C266" t="s">
        <v>22</v>
      </c>
      <c r="D266" t="s">
        <v>49</v>
      </c>
      <c r="E266">
        <v>191048</v>
      </c>
      <c r="F266">
        <v>2</v>
      </c>
      <c r="G266" t="s">
        <v>571</v>
      </c>
      <c r="H266">
        <v>1563083</v>
      </c>
      <c r="I266">
        <v>48</v>
      </c>
      <c r="J266">
        <v>15.46</v>
      </c>
      <c r="K266" t="s">
        <v>33</v>
      </c>
      <c r="L266">
        <v>2021267.23450491</v>
      </c>
      <c r="M266">
        <v>1498294.29012237</v>
      </c>
      <c r="N266">
        <v>31214.46</v>
      </c>
      <c r="O266" t="s">
        <v>26</v>
      </c>
      <c r="P266">
        <v>2</v>
      </c>
      <c r="Q266">
        <v>30</v>
      </c>
      <c r="R266" t="s">
        <v>34</v>
      </c>
      <c r="S266">
        <v>2</v>
      </c>
      <c r="T266" t="s">
        <v>45</v>
      </c>
      <c r="U266" t="s">
        <v>29</v>
      </c>
    </row>
    <row r="267" spans="1:21" x14ac:dyDescent="0.25">
      <c r="A267" t="s">
        <v>572</v>
      </c>
      <c r="B267">
        <v>23</v>
      </c>
      <c r="C267" t="s">
        <v>22</v>
      </c>
      <c r="D267" t="s">
        <v>49</v>
      </c>
      <c r="E267">
        <v>189668</v>
      </c>
      <c r="F267">
        <v>1</v>
      </c>
      <c r="G267" t="s">
        <v>573</v>
      </c>
      <c r="H267">
        <v>1294951</v>
      </c>
      <c r="I267">
        <v>72</v>
      </c>
      <c r="J267">
        <v>5.68</v>
      </c>
      <c r="K267" t="s">
        <v>25</v>
      </c>
      <c r="L267">
        <v>933023.57441139</v>
      </c>
      <c r="M267">
        <v>1138280.1853296401</v>
      </c>
      <c r="N267">
        <v>15809.45</v>
      </c>
      <c r="O267" t="s">
        <v>37</v>
      </c>
      <c r="P267">
        <v>3</v>
      </c>
      <c r="Q267">
        <v>137</v>
      </c>
      <c r="R267" t="s">
        <v>34</v>
      </c>
      <c r="S267">
        <v>0</v>
      </c>
      <c r="T267" t="s">
        <v>45</v>
      </c>
      <c r="U267" t="s">
        <v>29</v>
      </c>
    </row>
    <row r="268" spans="1:21" x14ac:dyDescent="0.25">
      <c r="A268" t="s">
        <v>574</v>
      </c>
      <c r="B268">
        <v>40</v>
      </c>
      <c r="C268" t="s">
        <v>22</v>
      </c>
      <c r="D268" t="s">
        <v>23</v>
      </c>
      <c r="E268">
        <v>169243</v>
      </c>
      <c r="F268">
        <v>1</v>
      </c>
      <c r="G268" t="s">
        <v>575</v>
      </c>
      <c r="H268">
        <v>126361</v>
      </c>
      <c r="I268">
        <v>48</v>
      </c>
      <c r="J268">
        <v>7.08</v>
      </c>
      <c r="K268" t="s">
        <v>44</v>
      </c>
      <c r="L268">
        <v>0</v>
      </c>
      <c r="M268">
        <v>78279.940181335594</v>
      </c>
      <c r="N268">
        <v>1630.83</v>
      </c>
      <c r="O268" t="s">
        <v>37</v>
      </c>
      <c r="P268">
        <v>2</v>
      </c>
      <c r="Q268">
        <v>176</v>
      </c>
      <c r="R268" t="s">
        <v>65</v>
      </c>
      <c r="S268">
        <v>5</v>
      </c>
      <c r="T268" t="s">
        <v>41</v>
      </c>
      <c r="U268" t="s">
        <v>79</v>
      </c>
    </row>
    <row r="269" spans="1:21" x14ac:dyDescent="0.25">
      <c r="A269" t="s">
        <v>576</v>
      </c>
      <c r="B269">
        <v>44</v>
      </c>
      <c r="C269" t="s">
        <v>22</v>
      </c>
      <c r="D269" t="s">
        <v>49</v>
      </c>
      <c r="E269">
        <v>246513</v>
      </c>
      <c r="F269">
        <v>0</v>
      </c>
      <c r="G269" t="s">
        <v>577</v>
      </c>
      <c r="H269">
        <v>1448949</v>
      </c>
      <c r="I269">
        <v>72</v>
      </c>
      <c r="J269">
        <v>9.36</v>
      </c>
      <c r="K269" t="s">
        <v>44</v>
      </c>
      <c r="L269">
        <v>0</v>
      </c>
      <c r="M269">
        <v>1023876.74457077</v>
      </c>
      <c r="N269">
        <v>14220.51</v>
      </c>
      <c r="O269" t="s">
        <v>26</v>
      </c>
      <c r="P269">
        <v>0</v>
      </c>
      <c r="Q269">
        <v>0</v>
      </c>
      <c r="R269" t="s">
        <v>34</v>
      </c>
      <c r="S269">
        <v>1</v>
      </c>
      <c r="T269" t="s">
        <v>38</v>
      </c>
      <c r="U269" t="s">
        <v>29</v>
      </c>
    </row>
    <row r="270" spans="1:21" x14ac:dyDescent="0.25">
      <c r="A270" t="s">
        <v>578</v>
      </c>
      <c r="B270">
        <v>53</v>
      </c>
      <c r="C270" t="s">
        <v>22</v>
      </c>
      <c r="D270" t="s">
        <v>23</v>
      </c>
      <c r="E270">
        <v>101365</v>
      </c>
      <c r="F270">
        <v>3</v>
      </c>
      <c r="G270" t="s">
        <v>579</v>
      </c>
      <c r="H270">
        <v>1233765</v>
      </c>
      <c r="I270">
        <v>48</v>
      </c>
      <c r="J270">
        <v>6</v>
      </c>
      <c r="K270" t="s">
        <v>33</v>
      </c>
      <c r="L270">
        <v>846315.29937157803</v>
      </c>
      <c r="M270">
        <v>141876.09567415799</v>
      </c>
      <c r="N270">
        <v>2955.75</v>
      </c>
      <c r="O270" t="s">
        <v>26</v>
      </c>
      <c r="P270">
        <v>0</v>
      </c>
      <c r="Q270">
        <v>0</v>
      </c>
      <c r="R270" t="s">
        <v>34</v>
      </c>
      <c r="S270">
        <v>3</v>
      </c>
      <c r="T270" t="s">
        <v>45</v>
      </c>
      <c r="U270" t="s">
        <v>29</v>
      </c>
    </row>
    <row r="271" spans="1:21" x14ac:dyDescent="0.25">
      <c r="A271" t="s">
        <v>580</v>
      </c>
      <c r="B271">
        <v>44</v>
      </c>
      <c r="C271" t="s">
        <v>31</v>
      </c>
      <c r="D271" t="s">
        <v>23</v>
      </c>
      <c r="E271">
        <v>245662</v>
      </c>
      <c r="F271">
        <v>2</v>
      </c>
      <c r="G271" t="s">
        <v>581</v>
      </c>
      <c r="H271">
        <v>1713129</v>
      </c>
      <c r="I271">
        <v>72</v>
      </c>
      <c r="J271">
        <v>8.0500000000000007</v>
      </c>
      <c r="K271" t="s">
        <v>44</v>
      </c>
      <c r="L271">
        <v>0</v>
      </c>
      <c r="M271">
        <v>693903.41164312104</v>
      </c>
      <c r="N271">
        <v>9637.5499999999993</v>
      </c>
      <c r="O271" t="s">
        <v>26</v>
      </c>
      <c r="P271">
        <v>3</v>
      </c>
      <c r="Q271">
        <v>47</v>
      </c>
      <c r="R271" t="s">
        <v>34</v>
      </c>
      <c r="S271">
        <v>3</v>
      </c>
      <c r="T271" t="s">
        <v>28</v>
      </c>
      <c r="U271" t="s">
        <v>29</v>
      </c>
    </row>
    <row r="272" spans="1:21" x14ac:dyDescent="0.25">
      <c r="A272" t="s">
        <v>582</v>
      </c>
      <c r="B272">
        <v>31</v>
      </c>
      <c r="C272" t="s">
        <v>22</v>
      </c>
      <c r="D272" t="s">
        <v>23</v>
      </c>
      <c r="E272">
        <v>129014</v>
      </c>
      <c r="F272">
        <v>0</v>
      </c>
      <c r="G272" t="s">
        <v>583</v>
      </c>
      <c r="H272">
        <v>572154</v>
      </c>
      <c r="I272">
        <v>60</v>
      </c>
      <c r="J272">
        <v>15.79</v>
      </c>
      <c r="K272" t="s">
        <v>33</v>
      </c>
      <c r="L272">
        <v>830091.69954582595</v>
      </c>
      <c r="M272">
        <v>466931.56525247998</v>
      </c>
      <c r="N272">
        <v>7782.19</v>
      </c>
      <c r="O272" t="s">
        <v>26</v>
      </c>
      <c r="P272">
        <v>0</v>
      </c>
      <c r="Q272">
        <v>0</v>
      </c>
      <c r="R272" t="s">
        <v>34</v>
      </c>
      <c r="S272">
        <v>1</v>
      </c>
      <c r="T272" t="s">
        <v>45</v>
      </c>
      <c r="U272" t="s">
        <v>29</v>
      </c>
    </row>
    <row r="273" spans="1:21" x14ac:dyDescent="0.25">
      <c r="A273" t="s">
        <v>584</v>
      </c>
      <c r="B273">
        <v>28</v>
      </c>
      <c r="C273" t="s">
        <v>22</v>
      </c>
      <c r="D273" t="s">
        <v>23</v>
      </c>
      <c r="E273">
        <v>190211</v>
      </c>
      <c r="F273">
        <v>0</v>
      </c>
      <c r="G273" t="s">
        <v>585</v>
      </c>
      <c r="H273">
        <v>672006</v>
      </c>
      <c r="I273">
        <v>36</v>
      </c>
      <c r="J273">
        <v>17.329999999999998</v>
      </c>
      <c r="K273" t="s">
        <v>44</v>
      </c>
      <c r="L273">
        <v>0</v>
      </c>
      <c r="M273">
        <v>114062.720957693</v>
      </c>
      <c r="N273">
        <v>3168.41</v>
      </c>
      <c r="O273" t="s">
        <v>26</v>
      </c>
      <c r="P273">
        <v>0</v>
      </c>
      <c r="Q273">
        <v>0</v>
      </c>
      <c r="R273" t="s">
        <v>34</v>
      </c>
      <c r="S273">
        <v>2</v>
      </c>
      <c r="T273" t="s">
        <v>38</v>
      </c>
      <c r="U273" t="s">
        <v>29</v>
      </c>
    </row>
    <row r="274" spans="1:21" x14ac:dyDescent="0.25">
      <c r="A274" t="s">
        <v>586</v>
      </c>
      <c r="B274">
        <v>56</v>
      </c>
      <c r="C274" t="s">
        <v>31</v>
      </c>
      <c r="D274" t="s">
        <v>23</v>
      </c>
      <c r="E274">
        <v>194785</v>
      </c>
      <c r="F274">
        <v>1</v>
      </c>
      <c r="G274" t="s">
        <v>587</v>
      </c>
      <c r="H274">
        <v>1421430</v>
      </c>
      <c r="I274">
        <v>72</v>
      </c>
      <c r="J274">
        <v>8.9600000000000009</v>
      </c>
      <c r="K274" t="s">
        <v>25</v>
      </c>
      <c r="L274">
        <v>1009069.78762276</v>
      </c>
      <c r="M274">
        <v>503303.41802593</v>
      </c>
      <c r="N274">
        <v>6990.33</v>
      </c>
      <c r="O274" t="s">
        <v>26</v>
      </c>
      <c r="P274">
        <v>1</v>
      </c>
      <c r="Q274">
        <v>49</v>
      </c>
      <c r="R274" t="s">
        <v>34</v>
      </c>
      <c r="S274">
        <v>0</v>
      </c>
      <c r="T274" t="s">
        <v>28</v>
      </c>
      <c r="U274" t="s">
        <v>29</v>
      </c>
    </row>
    <row r="275" spans="1:21" x14ac:dyDescent="0.25">
      <c r="A275" t="s">
        <v>588</v>
      </c>
      <c r="B275">
        <v>58</v>
      </c>
      <c r="C275" t="s">
        <v>22</v>
      </c>
      <c r="D275" t="s">
        <v>58</v>
      </c>
      <c r="E275">
        <v>175806</v>
      </c>
      <c r="F275">
        <v>2</v>
      </c>
      <c r="G275" t="s">
        <v>589</v>
      </c>
      <c r="H275">
        <v>1061930</v>
      </c>
      <c r="I275">
        <v>24</v>
      </c>
      <c r="J275">
        <v>8.44</v>
      </c>
      <c r="K275" t="s">
        <v>44</v>
      </c>
      <c r="L275">
        <v>0</v>
      </c>
      <c r="M275">
        <v>665582.83482174994</v>
      </c>
      <c r="N275">
        <v>27732.62</v>
      </c>
      <c r="O275" t="s">
        <v>26</v>
      </c>
      <c r="P275">
        <v>2</v>
      </c>
      <c r="Q275">
        <v>55</v>
      </c>
      <c r="R275" t="s">
        <v>34</v>
      </c>
      <c r="S275">
        <v>2</v>
      </c>
      <c r="T275" t="s">
        <v>28</v>
      </c>
      <c r="U275" t="s">
        <v>29</v>
      </c>
    </row>
    <row r="276" spans="1:21" x14ac:dyDescent="0.25">
      <c r="A276" t="s">
        <v>590</v>
      </c>
      <c r="B276">
        <v>60</v>
      </c>
      <c r="C276" t="s">
        <v>22</v>
      </c>
      <c r="D276" t="s">
        <v>23</v>
      </c>
      <c r="E276">
        <v>87588</v>
      </c>
      <c r="F276">
        <v>2</v>
      </c>
      <c r="G276" t="s">
        <v>591</v>
      </c>
      <c r="H276">
        <v>1717740</v>
      </c>
      <c r="I276">
        <v>72</v>
      </c>
      <c r="J276">
        <v>8.64</v>
      </c>
      <c r="K276" t="s">
        <v>44</v>
      </c>
      <c r="L276">
        <v>0</v>
      </c>
      <c r="M276">
        <v>568179.82277962205</v>
      </c>
      <c r="N276">
        <v>7891.39</v>
      </c>
      <c r="O276" t="s">
        <v>26</v>
      </c>
      <c r="P276">
        <v>1</v>
      </c>
      <c r="Q276">
        <v>123</v>
      </c>
      <c r="R276" t="s">
        <v>65</v>
      </c>
      <c r="S276">
        <v>8</v>
      </c>
      <c r="T276" t="s">
        <v>28</v>
      </c>
      <c r="U276" t="s">
        <v>79</v>
      </c>
    </row>
    <row r="277" spans="1:21" x14ac:dyDescent="0.25">
      <c r="A277" t="s">
        <v>592</v>
      </c>
      <c r="B277">
        <v>40</v>
      </c>
      <c r="C277" t="s">
        <v>22</v>
      </c>
      <c r="D277" t="s">
        <v>49</v>
      </c>
      <c r="E277">
        <v>78646</v>
      </c>
      <c r="F277">
        <v>2</v>
      </c>
      <c r="G277" t="s">
        <v>593</v>
      </c>
      <c r="H277">
        <v>1034558</v>
      </c>
      <c r="I277">
        <v>48</v>
      </c>
      <c r="J277">
        <v>8.61</v>
      </c>
      <c r="K277" t="s">
        <v>64</v>
      </c>
      <c r="L277">
        <v>787214.40392571897</v>
      </c>
      <c r="M277">
        <v>973084.74647750496</v>
      </c>
      <c r="N277">
        <v>20272.599999999999</v>
      </c>
      <c r="O277" t="s">
        <v>26</v>
      </c>
      <c r="P277">
        <v>2</v>
      </c>
      <c r="Q277">
        <v>70</v>
      </c>
      <c r="R277" t="s">
        <v>34</v>
      </c>
      <c r="S277">
        <v>2</v>
      </c>
      <c r="T277" t="s">
        <v>41</v>
      </c>
      <c r="U277" t="s">
        <v>29</v>
      </c>
    </row>
    <row r="278" spans="1:21" x14ac:dyDescent="0.25">
      <c r="A278" t="s">
        <v>594</v>
      </c>
      <c r="B278">
        <v>55</v>
      </c>
      <c r="C278" t="s">
        <v>22</v>
      </c>
      <c r="D278" t="s">
        <v>23</v>
      </c>
      <c r="E278">
        <v>18654</v>
      </c>
      <c r="F278">
        <v>1</v>
      </c>
      <c r="G278" t="s">
        <v>595</v>
      </c>
      <c r="H278">
        <v>1129525</v>
      </c>
      <c r="I278">
        <v>12</v>
      </c>
      <c r="J278">
        <v>5.47</v>
      </c>
      <c r="K278" t="s">
        <v>33</v>
      </c>
      <c r="L278">
        <v>1659967.9433909201</v>
      </c>
      <c r="M278">
        <v>246183.09996329501</v>
      </c>
      <c r="N278">
        <v>20515.259999999998</v>
      </c>
      <c r="O278" t="s">
        <v>26</v>
      </c>
      <c r="P278">
        <v>0</v>
      </c>
      <c r="Q278">
        <v>0</v>
      </c>
      <c r="R278" t="s">
        <v>34</v>
      </c>
      <c r="S278">
        <v>0</v>
      </c>
      <c r="T278" t="s">
        <v>45</v>
      </c>
      <c r="U278" t="s">
        <v>29</v>
      </c>
    </row>
    <row r="279" spans="1:21" x14ac:dyDescent="0.25">
      <c r="A279" t="s">
        <v>596</v>
      </c>
      <c r="B279">
        <v>45</v>
      </c>
      <c r="C279" t="s">
        <v>22</v>
      </c>
      <c r="D279" t="s">
        <v>49</v>
      </c>
      <c r="E279">
        <v>235094</v>
      </c>
      <c r="F279">
        <v>1</v>
      </c>
      <c r="G279" t="s">
        <v>597</v>
      </c>
      <c r="H279">
        <v>1835818</v>
      </c>
      <c r="I279">
        <v>48</v>
      </c>
      <c r="J279">
        <v>17.05</v>
      </c>
      <c r="K279" t="s">
        <v>25</v>
      </c>
      <c r="L279">
        <v>2266700.2180467998</v>
      </c>
      <c r="M279">
        <v>1501065.62381099</v>
      </c>
      <c r="N279">
        <v>31272.2</v>
      </c>
      <c r="O279" t="s">
        <v>26</v>
      </c>
      <c r="P279">
        <v>1</v>
      </c>
      <c r="Q279">
        <v>150</v>
      </c>
      <c r="R279" t="s">
        <v>34</v>
      </c>
      <c r="S279">
        <v>3</v>
      </c>
      <c r="T279" t="s">
        <v>41</v>
      </c>
      <c r="U279" t="s">
        <v>29</v>
      </c>
    </row>
    <row r="280" spans="1:21" x14ac:dyDescent="0.25">
      <c r="A280" t="s">
        <v>598</v>
      </c>
      <c r="B280">
        <v>55</v>
      </c>
      <c r="C280" t="s">
        <v>31</v>
      </c>
      <c r="D280" t="s">
        <v>58</v>
      </c>
      <c r="E280">
        <v>33743</v>
      </c>
      <c r="F280">
        <v>1</v>
      </c>
      <c r="G280" t="s">
        <v>599</v>
      </c>
      <c r="H280">
        <v>904568</v>
      </c>
      <c r="I280">
        <v>72</v>
      </c>
      <c r="J280">
        <v>7.78</v>
      </c>
      <c r="K280" t="s">
        <v>25</v>
      </c>
      <c r="L280">
        <v>1085116.6366840301</v>
      </c>
      <c r="M280">
        <v>503983.51910635602</v>
      </c>
      <c r="N280">
        <v>6999.77</v>
      </c>
      <c r="O280" t="s">
        <v>26</v>
      </c>
      <c r="P280">
        <v>2</v>
      </c>
      <c r="Q280">
        <v>134</v>
      </c>
      <c r="R280" t="s">
        <v>34</v>
      </c>
      <c r="S280">
        <v>2</v>
      </c>
      <c r="T280" t="s">
        <v>28</v>
      </c>
      <c r="U280" t="s">
        <v>29</v>
      </c>
    </row>
    <row r="281" spans="1:21" x14ac:dyDescent="0.25">
      <c r="A281" t="s">
        <v>600</v>
      </c>
      <c r="B281">
        <v>45</v>
      </c>
      <c r="C281" t="s">
        <v>31</v>
      </c>
      <c r="D281" t="s">
        <v>23</v>
      </c>
      <c r="E281">
        <v>63368</v>
      </c>
      <c r="F281">
        <v>1</v>
      </c>
      <c r="G281" t="s">
        <v>601</v>
      </c>
      <c r="H281">
        <v>1210117</v>
      </c>
      <c r="I281">
        <v>12</v>
      </c>
      <c r="J281">
        <v>10.46</v>
      </c>
      <c r="K281" t="s">
        <v>25</v>
      </c>
      <c r="L281">
        <v>1637199.2168509499</v>
      </c>
      <c r="M281">
        <v>938200.92469862604</v>
      </c>
      <c r="N281">
        <v>78183.41</v>
      </c>
      <c r="O281" t="s">
        <v>26</v>
      </c>
      <c r="P281">
        <v>2</v>
      </c>
      <c r="Q281">
        <v>152</v>
      </c>
      <c r="R281" t="s">
        <v>27</v>
      </c>
      <c r="S281">
        <v>3</v>
      </c>
      <c r="T281" t="s">
        <v>41</v>
      </c>
      <c r="U281" t="s">
        <v>29</v>
      </c>
    </row>
    <row r="282" spans="1:21" x14ac:dyDescent="0.25">
      <c r="A282" t="s">
        <v>602</v>
      </c>
      <c r="B282">
        <v>49</v>
      </c>
      <c r="C282" t="s">
        <v>22</v>
      </c>
      <c r="D282" t="s">
        <v>49</v>
      </c>
      <c r="E282">
        <v>236097</v>
      </c>
      <c r="F282">
        <v>1</v>
      </c>
      <c r="G282" t="s">
        <v>603</v>
      </c>
      <c r="H282">
        <v>1818555</v>
      </c>
      <c r="I282">
        <v>48</v>
      </c>
      <c r="J282">
        <v>5.13</v>
      </c>
      <c r="K282" t="s">
        <v>25</v>
      </c>
      <c r="L282">
        <v>1119908.14531713</v>
      </c>
      <c r="M282">
        <v>690403.12248968205</v>
      </c>
      <c r="N282">
        <v>14383.4</v>
      </c>
      <c r="O282" t="s">
        <v>26</v>
      </c>
      <c r="P282">
        <v>1</v>
      </c>
      <c r="Q282">
        <v>72</v>
      </c>
      <c r="R282" t="s">
        <v>34</v>
      </c>
      <c r="S282">
        <v>0</v>
      </c>
      <c r="T282" t="s">
        <v>41</v>
      </c>
      <c r="U282" t="s">
        <v>29</v>
      </c>
    </row>
    <row r="283" spans="1:21" x14ac:dyDescent="0.25">
      <c r="A283" t="s">
        <v>604</v>
      </c>
      <c r="B283">
        <v>38</v>
      </c>
      <c r="C283" t="s">
        <v>22</v>
      </c>
      <c r="D283" t="s">
        <v>23</v>
      </c>
      <c r="E283">
        <v>220244</v>
      </c>
      <c r="F283">
        <v>3</v>
      </c>
      <c r="G283" t="s">
        <v>605</v>
      </c>
      <c r="H283">
        <v>111842</v>
      </c>
      <c r="I283">
        <v>60</v>
      </c>
      <c r="J283">
        <v>16.149999999999999</v>
      </c>
      <c r="K283" t="s">
        <v>25</v>
      </c>
      <c r="L283">
        <v>134876.55741158099</v>
      </c>
      <c r="M283">
        <v>62971.591491604697</v>
      </c>
      <c r="N283">
        <v>1049.53</v>
      </c>
      <c r="O283" t="s">
        <v>26</v>
      </c>
      <c r="P283">
        <v>3</v>
      </c>
      <c r="Q283">
        <v>25</v>
      </c>
      <c r="R283" t="s">
        <v>34</v>
      </c>
      <c r="S283">
        <v>3</v>
      </c>
      <c r="T283" t="s">
        <v>41</v>
      </c>
      <c r="U283" t="s">
        <v>29</v>
      </c>
    </row>
    <row r="284" spans="1:21" x14ac:dyDescent="0.25">
      <c r="A284" t="s">
        <v>606</v>
      </c>
      <c r="B284">
        <v>38</v>
      </c>
      <c r="C284" t="s">
        <v>22</v>
      </c>
      <c r="D284" t="s">
        <v>49</v>
      </c>
      <c r="E284">
        <v>152513</v>
      </c>
      <c r="F284">
        <v>3</v>
      </c>
      <c r="G284" t="s">
        <v>607</v>
      </c>
      <c r="H284">
        <v>538019</v>
      </c>
      <c r="I284">
        <v>60</v>
      </c>
      <c r="J284">
        <v>14.51</v>
      </c>
      <c r="K284" t="s">
        <v>44</v>
      </c>
      <c r="L284">
        <v>0</v>
      </c>
      <c r="M284">
        <v>468696.22822044202</v>
      </c>
      <c r="N284">
        <v>7811.6</v>
      </c>
      <c r="O284" t="s">
        <v>26</v>
      </c>
      <c r="P284">
        <v>2</v>
      </c>
      <c r="Q284">
        <v>49</v>
      </c>
      <c r="R284" t="s">
        <v>27</v>
      </c>
      <c r="S284">
        <v>1</v>
      </c>
      <c r="T284" t="s">
        <v>45</v>
      </c>
      <c r="U284" t="s">
        <v>29</v>
      </c>
    </row>
    <row r="285" spans="1:21" x14ac:dyDescent="0.25">
      <c r="A285" t="s">
        <v>608</v>
      </c>
      <c r="B285">
        <v>22</v>
      </c>
      <c r="C285" t="s">
        <v>31</v>
      </c>
      <c r="D285" t="s">
        <v>23</v>
      </c>
      <c r="E285">
        <v>134735</v>
      </c>
      <c r="F285">
        <v>2</v>
      </c>
      <c r="G285" t="s">
        <v>609</v>
      </c>
      <c r="H285">
        <v>1331506</v>
      </c>
      <c r="I285">
        <v>36</v>
      </c>
      <c r="J285">
        <v>17.309999999999999</v>
      </c>
      <c r="K285" t="s">
        <v>25</v>
      </c>
      <c r="L285">
        <v>1336417.40545221</v>
      </c>
      <c r="M285">
        <v>692636.49122590804</v>
      </c>
      <c r="N285">
        <v>19239.900000000001</v>
      </c>
      <c r="O285" t="s">
        <v>26</v>
      </c>
      <c r="P285">
        <v>0</v>
      </c>
      <c r="Q285">
        <v>0</v>
      </c>
      <c r="R285" t="s">
        <v>34</v>
      </c>
      <c r="S285">
        <v>1</v>
      </c>
      <c r="T285" t="s">
        <v>28</v>
      </c>
      <c r="U285" t="s">
        <v>29</v>
      </c>
    </row>
    <row r="286" spans="1:21" x14ac:dyDescent="0.25">
      <c r="A286" t="s">
        <v>610</v>
      </c>
      <c r="B286">
        <v>55</v>
      </c>
      <c r="C286" t="s">
        <v>22</v>
      </c>
      <c r="D286" t="s">
        <v>58</v>
      </c>
      <c r="E286">
        <v>170683</v>
      </c>
      <c r="F286">
        <v>0</v>
      </c>
      <c r="G286" t="s">
        <v>611</v>
      </c>
      <c r="H286">
        <v>339134</v>
      </c>
      <c r="I286">
        <v>24</v>
      </c>
      <c r="J286">
        <v>15.16</v>
      </c>
      <c r="K286" t="s">
        <v>33</v>
      </c>
      <c r="L286">
        <v>450760.173242121</v>
      </c>
      <c r="M286">
        <v>143707.31208417</v>
      </c>
      <c r="N286">
        <v>5987.8</v>
      </c>
      <c r="O286" t="s">
        <v>26</v>
      </c>
      <c r="P286">
        <v>2</v>
      </c>
      <c r="Q286">
        <v>75</v>
      </c>
      <c r="R286" t="s">
        <v>34</v>
      </c>
      <c r="S286">
        <v>0</v>
      </c>
      <c r="T286" t="s">
        <v>28</v>
      </c>
      <c r="U286" t="s">
        <v>29</v>
      </c>
    </row>
    <row r="287" spans="1:21" x14ac:dyDescent="0.25">
      <c r="A287" t="s">
        <v>612</v>
      </c>
      <c r="B287">
        <v>36</v>
      </c>
      <c r="C287" t="s">
        <v>22</v>
      </c>
      <c r="D287" t="s">
        <v>23</v>
      </c>
      <c r="E287">
        <v>134891</v>
      </c>
      <c r="F287">
        <v>2</v>
      </c>
      <c r="G287" t="s">
        <v>613</v>
      </c>
      <c r="H287">
        <v>721553</v>
      </c>
      <c r="I287">
        <v>12</v>
      </c>
      <c r="J287">
        <v>9.08</v>
      </c>
      <c r="K287" t="s">
        <v>64</v>
      </c>
      <c r="L287">
        <v>727427.68152802705</v>
      </c>
      <c r="M287">
        <v>420333.37467513798</v>
      </c>
      <c r="N287">
        <v>35027.78</v>
      </c>
      <c r="O287" t="s">
        <v>26</v>
      </c>
      <c r="P287">
        <v>0</v>
      </c>
      <c r="Q287">
        <v>0</v>
      </c>
      <c r="R287" t="s">
        <v>34</v>
      </c>
      <c r="S287">
        <v>0</v>
      </c>
      <c r="T287" t="s">
        <v>45</v>
      </c>
      <c r="U287" t="s">
        <v>29</v>
      </c>
    </row>
    <row r="288" spans="1:21" x14ac:dyDescent="0.25">
      <c r="A288" t="s">
        <v>614</v>
      </c>
      <c r="B288">
        <v>61</v>
      </c>
      <c r="C288" t="s">
        <v>22</v>
      </c>
      <c r="D288" t="s">
        <v>23</v>
      </c>
      <c r="E288">
        <v>122971</v>
      </c>
      <c r="F288">
        <v>0</v>
      </c>
      <c r="G288" t="s">
        <v>615</v>
      </c>
      <c r="H288">
        <v>1390829</v>
      </c>
      <c r="I288">
        <v>48</v>
      </c>
      <c r="J288">
        <v>8.2200000000000006</v>
      </c>
      <c r="K288" t="s">
        <v>44</v>
      </c>
      <c r="L288">
        <v>0</v>
      </c>
      <c r="M288">
        <v>1037038.92839854</v>
      </c>
      <c r="N288">
        <v>21604.98</v>
      </c>
      <c r="O288" t="s">
        <v>26</v>
      </c>
      <c r="P288">
        <v>1</v>
      </c>
      <c r="Q288">
        <v>58</v>
      </c>
      <c r="R288" t="s">
        <v>34</v>
      </c>
      <c r="S288">
        <v>2</v>
      </c>
      <c r="T288" t="s">
        <v>41</v>
      </c>
      <c r="U288" t="s">
        <v>29</v>
      </c>
    </row>
    <row r="289" spans="1:21" x14ac:dyDescent="0.25">
      <c r="A289" t="s">
        <v>616</v>
      </c>
      <c r="B289">
        <v>56</v>
      </c>
      <c r="C289" t="s">
        <v>22</v>
      </c>
      <c r="D289" t="s">
        <v>49</v>
      </c>
      <c r="E289">
        <v>27149</v>
      </c>
      <c r="F289">
        <v>1</v>
      </c>
      <c r="G289" t="s">
        <v>617</v>
      </c>
      <c r="H289">
        <v>180356</v>
      </c>
      <c r="I289">
        <v>48</v>
      </c>
      <c r="J289">
        <v>14.07</v>
      </c>
      <c r="K289" t="s">
        <v>33</v>
      </c>
      <c r="L289">
        <v>202042.24969052401</v>
      </c>
      <c r="M289">
        <v>90034.979666655199</v>
      </c>
      <c r="N289">
        <v>1875.73</v>
      </c>
      <c r="O289" t="s">
        <v>37</v>
      </c>
      <c r="P289">
        <v>2</v>
      </c>
      <c r="Q289">
        <v>92</v>
      </c>
      <c r="R289" t="s">
        <v>34</v>
      </c>
      <c r="S289">
        <v>1</v>
      </c>
      <c r="T289" t="s">
        <v>41</v>
      </c>
      <c r="U289" t="s">
        <v>29</v>
      </c>
    </row>
    <row r="290" spans="1:21" x14ac:dyDescent="0.25">
      <c r="A290" t="s">
        <v>618</v>
      </c>
      <c r="B290">
        <v>53</v>
      </c>
      <c r="C290" t="s">
        <v>31</v>
      </c>
      <c r="D290" t="s">
        <v>23</v>
      </c>
      <c r="E290">
        <v>115102</v>
      </c>
      <c r="F290">
        <v>0</v>
      </c>
      <c r="G290" t="s">
        <v>619</v>
      </c>
      <c r="H290">
        <v>818917</v>
      </c>
      <c r="I290">
        <v>72</v>
      </c>
      <c r="J290">
        <v>9.73</v>
      </c>
      <c r="K290" t="s">
        <v>25</v>
      </c>
      <c r="L290">
        <v>800689.64892472897</v>
      </c>
      <c r="M290">
        <v>773867.784267326</v>
      </c>
      <c r="N290">
        <v>10748.16</v>
      </c>
      <c r="O290" t="s">
        <v>26</v>
      </c>
      <c r="P290">
        <v>0</v>
      </c>
      <c r="Q290">
        <v>0</v>
      </c>
      <c r="R290" t="s">
        <v>34</v>
      </c>
      <c r="S290">
        <v>1</v>
      </c>
      <c r="T290" t="s">
        <v>38</v>
      </c>
      <c r="U290" t="s">
        <v>29</v>
      </c>
    </row>
    <row r="291" spans="1:21" x14ac:dyDescent="0.25">
      <c r="A291" t="s">
        <v>620</v>
      </c>
      <c r="B291">
        <v>24</v>
      </c>
      <c r="C291" t="s">
        <v>22</v>
      </c>
      <c r="D291" t="s">
        <v>23</v>
      </c>
      <c r="E291">
        <v>74189</v>
      </c>
      <c r="F291">
        <v>2</v>
      </c>
      <c r="G291" t="s">
        <v>621</v>
      </c>
      <c r="H291">
        <v>787090</v>
      </c>
      <c r="I291">
        <v>12</v>
      </c>
      <c r="J291">
        <v>12.36</v>
      </c>
      <c r="K291" t="s">
        <v>25</v>
      </c>
      <c r="L291">
        <v>769899.10714156902</v>
      </c>
      <c r="M291">
        <v>287643.01778093801</v>
      </c>
      <c r="N291">
        <v>23970.25</v>
      </c>
      <c r="O291" t="s">
        <v>26</v>
      </c>
      <c r="P291">
        <v>0</v>
      </c>
      <c r="Q291">
        <v>0</v>
      </c>
      <c r="R291" t="s">
        <v>34</v>
      </c>
      <c r="S291">
        <v>1</v>
      </c>
      <c r="T291" t="s">
        <v>38</v>
      </c>
      <c r="U291" t="s">
        <v>29</v>
      </c>
    </row>
    <row r="292" spans="1:21" x14ac:dyDescent="0.25">
      <c r="A292" t="s">
        <v>622</v>
      </c>
      <c r="B292">
        <v>53</v>
      </c>
      <c r="C292" t="s">
        <v>31</v>
      </c>
      <c r="D292" t="s">
        <v>23</v>
      </c>
      <c r="E292">
        <v>167747</v>
      </c>
      <c r="F292">
        <v>2</v>
      </c>
      <c r="G292" t="s">
        <v>623</v>
      </c>
      <c r="H292">
        <v>964565</v>
      </c>
      <c r="I292">
        <v>60</v>
      </c>
      <c r="J292">
        <v>5.08</v>
      </c>
      <c r="K292" t="s">
        <v>44</v>
      </c>
      <c r="L292">
        <v>0</v>
      </c>
      <c r="M292">
        <v>509210.49795606598</v>
      </c>
      <c r="N292">
        <v>8486.84</v>
      </c>
      <c r="O292" t="s">
        <v>37</v>
      </c>
      <c r="P292">
        <v>1</v>
      </c>
      <c r="Q292">
        <v>45</v>
      </c>
      <c r="R292" t="s">
        <v>27</v>
      </c>
      <c r="S292">
        <v>1</v>
      </c>
      <c r="T292" t="s">
        <v>38</v>
      </c>
      <c r="U292" t="s">
        <v>29</v>
      </c>
    </row>
    <row r="293" spans="1:21" x14ac:dyDescent="0.25">
      <c r="A293" t="s">
        <v>624</v>
      </c>
      <c r="B293">
        <v>34</v>
      </c>
      <c r="C293" t="s">
        <v>22</v>
      </c>
      <c r="D293" t="s">
        <v>23</v>
      </c>
      <c r="E293">
        <v>86031</v>
      </c>
      <c r="F293">
        <v>0</v>
      </c>
      <c r="G293" t="s">
        <v>625</v>
      </c>
      <c r="H293">
        <v>1788446</v>
      </c>
      <c r="I293">
        <v>12</v>
      </c>
      <c r="J293">
        <v>5.8</v>
      </c>
      <c r="K293" t="s">
        <v>25</v>
      </c>
      <c r="L293">
        <v>2267695.8353847698</v>
      </c>
      <c r="M293">
        <v>1397196.42017471</v>
      </c>
      <c r="N293">
        <v>116433.04</v>
      </c>
      <c r="O293" t="s">
        <v>26</v>
      </c>
      <c r="P293">
        <v>2</v>
      </c>
      <c r="Q293">
        <v>77</v>
      </c>
      <c r="R293" t="s">
        <v>34</v>
      </c>
      <c r="S293">
        <v>1</v>
      </c>
      <c r="T293" t="s">
        <v>45</v>
      </c>
      <c r="U293" t="s">
        <v>29</v>
      </c>
    </row>
    <row r="294" spans="1:21" x14ac:dyDescent="0.25">
      <c r="A294" t="s">
        <v>626</v>
      </c>
      <c r="B294">
        <v>41</v>
      </c>
      <c r="C294" t="s">
        <v>31</v>
      </c>
      <c r="D294" t="s">
        <v>23</v>
      </c>
      <c r="E294">
        <v>57668</v>
      </c>
      <c r="F294">
        <v>3</v>
      </c>
      <c r="G294" t="s">
        <v>627</v>
      </c>
      <c r="H294">
        <v>837738</v>
      </c>
      <c r="I294">
        <v>24</v>
      </c>
      <c r="J294">
        <v>11.96</v>
      </c>
      <c r="K294" t="s">
        <v>44</v>
      </c>
      <c r="L294">
        <v>0</v>
      </c>
      <c r="M294">
        <v>603346.431698762</v>
      </c>
      <c r="N294">
        <v>25139.43</v>
      </c>
      <c r="O294" t="s">
        <v>26</v>
      </c>
      <c r="P294">
        <v>2</v>
      </c>
      <c r="Q294">
        <v>3</v>
      </c>
      <c r="R294" t="s">
        <v>34</v>
      </c>
      <c r="S294">
        <v>1</v>
      </c>
      <c r="T294" t="s">
        <v>28</v>
      </c>
      <c r="U294" t="s">
        <v>29</v>
      </c>
    </row>
    <row r="295" spans="1:21" x14ac:dyDescent="0.25">
      <c r="A295" t="s">
        <v>628</v>
      </c>
      <c r="B295">
        <v>40</v>
      </c>
      <c r="C295" t="s">
        <v>22</v>
      </c>
      <c r="D295" t="s">
        <v>23</v>
      </c>
      <c r="E295">
        <v>159745</v>
      </c>
      <c r="F295">
        <v>1</v>
      </c>
      <c r="G295" t="s">
        <v>629</v>
      </c>
      <c r="H295">
        <v>1102425</v>
      </c>
      <c r="I295">
        <v>48</v>
      </c>
      <c r="J295">
        <v>12.36</v>
      </c>
      <c r="K295" t="s">
        <v>44</v>
      </c>
      <c r="L295">
        <v>0</v>
      </c>
      <c r="M295">
        <v>967132.03848988505</v>
      </c>
      <c r="N295">
        <v>20148.580000000002</v>
      </c>
      <c r="O295" t="s">
        <v>37</v>
      </c>
      <c r="P295">
        <v>1</v>
      </c>
      <c r="Q295">
        <v>136</v>
      </c>
      <c r="R295" t="s">
        <v>34</v>
      </c>
      <c r="S295">
        <v>1</v>
      </c>
      <c r="T295" t="s">
        <v>38</v>
      </c>
      <c r="U295" t="s">
        <v>29</v>
      </c>
    </row>
    <row r="296" spans="1:21" x14ac:dyDescent="0.25">
      <c r="A296" t="s">
        <v>630</v>
      </c>
      <c r="B296">
        <v>28</v>
      </c>
      <c r="C296" t="s">
        <v>22</v>
      </c>
      <c r="D296" t="s">
        <v>23</v>
      </c>
      <c r="E296">
        <v>222738</v>
      </c>
      <c r="F296">
        <v>1</v>
      </c>
      <c r="G296" t="s">
        <v>631</v>
      </c>
      <c r="H296">
        <v>62360</v>
      </c>
      <c r="I296">
        <v>48</v>
      </c>
      <c r="J296">
        <v>14.77</v>
      </c>
      <c r="K296" t="s">
        <v>33</v>
      </c>
      <c r="L296">
        <v>70377.400744364597</v>
      </c>
      <c r="M296">
        <v>62180.918456546598</v>
      </c>
      <c r="N296">
        <v>1295.44</v>
      </c>
      <c r="O296" t="s">
        <v>37</v>
      </c>
      <c r="P296">
        <v>2</v>
      </c>
      <c r="Q296">
        <v>32</v>
      </c>
      <c r="R296" t="s">
        <v>34</v>
      </c>
      <c r="S296">
        <v>2</v>
      </c>
      <c r="T296" t="s">
        <v>28</v>
      </c>
      <c r="U296" t="s">
        <v>29</v>
      </c>
    </row>
    <row r="297" spans="1:21" x14ac:dyDescent="0.25">
      <c r="A297" t="s">
        <v>632</v>
      </c>
      <c r="B297">
        <v>27</v>
      </c>
      <c r="C297" t="s">
        <v>31</v>
      </c>
      <c r="D297" t="s">
        <v>23</v>
      </c>
      <c r="E297">
        <v>103204</v>
      </c>
      <c r="F297">
        <v>2</v>
      </c>
      <c r="G297" t="s">
        <v>633</v>
      </c>
      <c r="H297">
        <v>423216</v>
      </c>
      <c r="I297">
        <v>60</v>
      </c>
      <c r="J297">
        <v>6.72</v>
      </c>
      <c r="K297" t="s">
        <v>33</v>
      </c>
      <c r="L297">
        <v>479615.11913232802</v>
      </c>
      <c r="M297">
        <v>204909.547031408</v>
      </c>
      <c r="N297">
        <v>3415.16</v>
      </c>
      <c r="O297" t="s">
        <v>26</v>
      </c>
      <c r="P297">
        <v>1</v>
      </c>
      <c r="Q297">
        <v>70</v>
      </c>
      <c r="R297" t="s">
        <v>34</v>
      </c>
      <c r="S297">
        <v>1</v>
      </c>
      <c r="T297" t="s">
        <v>28</v>
      </c>
      <c r="U297" t="s">
        <v>29</v>
      </c>
    </row>
    <row r="298" spans="1:21" x14ac:dyDescent="0.25">
      <c r="A298" t="s">
        <v>634</v>
      </c>
      <c r="B298">
        <v>23</v>
      </c>
      <c r="C298" t="s">
        <v>31</v>
      </c>
      <c r="D298" t="s">
        <v>49</v>
      </c>
      <c r="E298">
        <v>226830</v>
      </c>
      <c r="F298">
        <v>3</v>
      </c>
      <c r="G298" t="s">
        <v>635</v>
      </c>
      <c r="H298">
        <v>827567</v>
      </c>
      <c r="I298">
        <v>72</v>
      </c>
      <c r="J298">
        <v>11.67</v>
      </c>
      <c r="K298" t="s">
        <v>25</v>
      </c>
      <c r="L298">
        <v>786422.42429700401</v>
      </c>
      <c r="M298">
        <v>165543.02011667201</v>
      </c>
      <c r="N298">
        <v>2299.21</v>
      </c>
      <c r="O298" t="s">
        <v>26</v>
      </c>
      <c r="P298">
        <v>2</v>
      </c>
      <c r="Q298">
        <v>11</v>
      </c>
      <c r="R298" t="s">
        <v>65</v>
      </c>
      <c r="S298">
        <v>9</v>
      </c>
      <c r="T298" t="s">
        <v>28</v>
      </c>
      <c r="U298" t="s">
        <v>79</v>
      </c>
    </row>
    <row r="299" spans="1:21" x14ac:dyDescent="0.25">
      <c r="A299" t="s">
        <v>636</v>
      </c>
      <c r="B299">
        <v>37</v>
      </c>
      <c r="C299" t="s">
        <v>31</v>
      </c>
      <c r="D299" t="s">
        <v>23</v>
      </c>
      <c r="E299">
        <v>211501</v>
      </c>
      <c r="F299">
        <v>0</v>
      </c>
      <c r="G299" t="s">
        <v>637</v>
      </c>
      <c r="H299">
        <v>669055</v>
      </c>
      <c r="I299">
        <v>48</v>
      </c>
      <c r="J299">
        <v>7.53</v>
      </c>
      <c r="K299" t="s">
        <v>64</v>
      </c>
      <c r="L299">
        <v>689868.96407210501</v>
      </c>
      <c r="M299">
        <v>85220.407420577496</v>
      </c>
      <c r="N299">
        <v>1775.43</v>
      </c>
      <c r="O299" t="s">
        <v>26</v>
      </c>
      <c r="P299">
        <v>3</v>
      </c>
      <c r="Q299">
        <v>13</v>
      </c>
      <c r="R299" t="s">
        <v>27</v>
      </c>
      <c r="S299">
        <v>0</v>
      </c>
      <c r="T299" t="s">
        <v>45</v>
      </c>
      <c r="U299" t="s">
        <v>29</v>
      </c>
    </row>
    <row r="300" spans="1:21" x14ac:dyDescent="0.25">
      <c r="A300" t="s">
        <v>638</v>
      </c>
      <c r="B300">
        <v>53</v>
      </c>
      <c r="C300" t="s">
        <v>22</v>
      </c>
      <c r="D300" t="s">
        <v>23</v>
      </c>
      <c r="E300">
        <v>169741</v>
      </c>
      <c r="F300">
        <v>1</v>
      </c>
      <c r="G300" t="s">
        <v>639</v>
      </c>
      <c r="H300">
        <v>311445</v>
      </c>
      <c r="I300">
        <v>72</v>
      </c>
      <c r="J300">
        <v>6.21</v>
      </c>
      <c r="K300" t="s">
        <v>44</v>
      </c>
      <c r="L300">
        <v>0</v>
      </c>
      <c r="M300">
        <v>234888.46022943099</v>
      </c>
      <c r="N300">
        <v>3262.34</v>
      </c>
      <c r="O300" t="s">
        <v>26</v>
      </c>
      <c r="P300">
        <v>2</v>
      </c>
      <c r="Q300">
        <v>141</v>
      </c>
      <c r="R300" t="s">
        <v>65</v>
      </c>
      <c r="S300">
        <v>4</v>
      </c>
      <c r="T300" t="s">
        <v>45</v>
      </c>
      <c r="U300" t="s">
        <v>79</v>
      </c>
    </row>
    <row r="301" spans="1:21" x14ac:dyDescent="0.25">
      <c r="A301" t="s">
        <v>640</v>
      </c>
      <c r="B301">
        <v>32</v>
      </c>
      <c r="C301" t="s">
        <v>31</v>
      </c>
      <c r="D301" t="s">
        <v>23</v>
      </c>
      <c r="E301">
        <v>180140</v>
      </c>
      <c r="F301">
        <v>3</v>
      </c>
      <c r="G301" t="s">
        <v>641</v>
      </c>
      <c r="H301">
        <v>1799736</v>
      </c>
      <c r="I301">
        <v>72</v>
      </c>
      <c r="J301">
        <v>10.34</v>
      </c>
      <c r="K301" t="s">
        <v>44</v>
      </c>
      <c r="L301">
        <v>0</v>
      </c>
      <c r="M301">
        <v>1595668.0818718199</v>
      </c>
      <c r="N301">
        <v>22162.06</v>
      </c>
      <c r="O301" t="s">
        <v>26</v>
      </c>
      <c r="P301">
        <v>0</v>
      </c>
      <c r="Q301">
        <v>0</v>
      </c>
      <c r="R301" t="s">
        <v>27</v>
      </c>
      <c r="S301">
        <v>2</v>
      </c>
      <c r="T301" t="s">
        <v>45</v>
      </c>
      <c r="U301" t="s">
        <v>29</v>
      </c>
    </row>
    <row r="302" spans="1:21" x14ac:dyDescent="0.25">
      <c r="A302" t="s">
        <v>642</v>
      </c>
      <c r="B302">
        <v>42</v>
      </c>
      <c r="C302" t="s">
        <v>22</v>
      </c>
      <c r="D302" t="s">
        <v>23</v>
      </c>
      <c r="E302">
        <v>234861</v>
      </c>
      <c r="F302">
        <v>1</v>
      </c>
      <c r="G302" t="s">
        <v>643</v>
      </c>
      <c r="H302">
        <v>1620234</v>
      </c>
      <c r="I302">
        <v>48</v>
      </c>
      <c r="J302">
        <v>7.12</v>
      </c>
      <c r="K302" t="s">
        <v>25</v>
      </c>
      <c r="L302">
        <v>2018354.1171856499</v>
      </c>
      <c r="M302">
        <v>483868.83237756201</v>
      </c>
      <c r="N302">
        <v>10080.6</v>
      </c>
      <c r="O302" t="s">
        <v>26</v>
      </c>
      <c r="P302">
        <v>0</v>
      </c>
      <c r="Q302">
        <v>0</v>
      </c>
      <c r="R302" t="s">
        <v>34</v>
      </c>
      <c r="S302">
        <v>1</v>
      </c>
      <c r="T302" t="s">
        <v>45</v>
      </c>
      <c r="U302" t="s">
        <v>29</v>
      </c>
    </row>
    <row r="303" spans="1:21" x14ac:dyDescent="0.25">
      <c r="A303" t="s">
        <v>644</v>
      </c>
      <c r="B303">
        <v>42</v>
      </c>
      <c r="C303" t="s">
        <v>31</v>
      </c>
      <c r="D303" t="s">
        <v>49</v>
      </c>
      <c r="E303">
        <v>155507</v>
      </c>
      <c r="F303">
        <v>3</v>
      </c>
      <c r="G303" t="s">
        <v>645</v>
      </c>
      <c r="H303">
        <v>480179</v>
      </c>
      <c r="I303">
        <v>60</v>
      </c>
      <c r="J303">
        <v>7.88</v>
      </c>
      <c r="K303" t="s">
        <v>44</v>
      </c>
      <c r="L303">
        <v>0</v>
      </c>
      <c r="M303">
        <v>116492.978044831</v>
      </c>
      <c r="N303">
        <v>1941.55</v>
      </c>
      <c r="O303" t="s">
        <v>26</v>
      </c>
      <c r="P303">
        <v>3</v>
      </c>
      <c r="Q303">
        <v>74</v>
      </c>
      <c r="R303" t="s">
        <v>34</v>
      </c>
      <c r="S303">
        <v>2</v>
      </c>
      <c r="T303" t="s">
        <v>38</v>
      </c>
      <c r="U303" t="s">
        <v>29</v>
      </c>
    </row>
    <row r="304" spans="1:21" x14ac:dyDescent="0.25">
      <c r="A304" t="s">
        <v>646</v>
      </c>
      <c r="B304">
        <v>50</v>
      </c>
      <c r="C304" t="s">
        <v>22</v>
      </c>
      <c r="D304" t="s">
        <v>23</v>
      </c>
      <c r="E304">
        <v>240160</v>
      </c>
      <c r="F304">
        <v>3</v>
      </c>
      <c r="G304" t="s">
        <v>647</v>
      </c>
      <c r="H304">
        <v>104330</v>
      </c>
      <c r="I304">
        <v>48</v>
      </c>
      <c r="J304">
        <v>9.1300000000000008</v>
      </c>
      <c r="K304" t="s">
        <v>44</v>
      </c>
      <c r="L304">
        <v>0</v>
      </c>
      <c r="M304">
        <v>16273.871478987799</v>
      </c>
      <c r="N304">
        <v>339.04</v>
      </c>
      <c r="O304" t="s">
        <v>68</v>
      </c>
      <c r="P304">
        <v>4</v>
      </c>
      <c r="Q304">
        <v>178</v>
      </c>
      <c r="R304" t="s">
        <v>34</v>
      </c>
      <c r="S304">
        <v>1</v>
      </c>
      <c r="T304" t="s">
        <v>41</v>
      </c>
      <c r="U304" t="s">
        <v>29</v>
      </c>
    </row>
    <row r="305" spans="1:21" x14ac:dyDescent="0.25">
      <c r="A305" t="s">
        <v>648</v>
      </c>
      <c r="B305">
        <v>58</v>
      </c>
      <c r="C305" t="s">
        <v>31</v>
      </c>
      <c r="D305" t="s">
        <v>23</v>
      </c>
      <c r="E305">
        <v>198321</v>
      </c>
      <c r="F305">
        <v>2</v>
      </c>
      <c r="G305" t="s">
        <v>649</v>
      </c>
      <c r="H305">
        <v>101707</v>
      </c>
      <c r="I305">
        <v>12</v>
      </c>
      <c r="J305">
        <v>8.3699999999999992</v>
      </c>
      <c r="K305" t="s">
        <v>44</v>
      </c>
      <c r="L305">
        <v>0</v>
      </c>
      <c r="M305">
        <v>85477.881453182694</v>
      </c>
      <c r="N305">
        <v>7123.16</v>
      </c>
      <c r="O305" t="s">
        <v>68</v>
      </c>
      <c r="P305">
        <v>0</v>
      </c>
      <c r="Q305">
        <v>0</v>
      </c>
      <c r="R305" t="s">
        <v>34</v>
      </c>
      <c r="S305">
        <v>0</v>
      </c>
      <c r="T305" t="s">
        <v>41</v>
      </c>
      <c r="U305" t="s">
        <v>29</v>
      </c>
    </row>
    <row r="306" spans="1:21" x14ac:dyDescent="0.25">
      <c r="A306" t="s">
        <v>650</v>
      </c>
      <c r="B306">
        <v>58</v>
      </c>
      <c r="C306" t="s">
        <v>31</v>
      </c>
      <c r="D306" t="s">
        <v>49</v>
      </c>
      <c r="E306">
        <v>52384</v>
      </c>
      <c r="F306">
        <v>1</v>
      </c>
      <c r="G306" t="s">
        <v>651</v>
      </c>
      <c r="H306">
        <v>330833</v>
      </c>
      <c r="I306">
        <v>60</v>
      </c>
      <c r="J306">
        <v>6.14</v>
      </c>
      <c r="K306" t="s">
        <v>44</v>
      </c>
      <c r="L306">
        <v>0</v>
      </c>
      <c r="M306">
        <v>125797.179188435</v>
      </c>
      <c r="N306">
        <v>2096.62</v>
      </c>
      <c r="O306" t="s">
        <v>26</v>
      </c>
      <c r="P306">
        <v>0</v>
      </c>
      <c r="Q306">
        <v>0</v>
      </c>
      <c r="R306" t="s">
        <v>65</v>
      </c>
      <c r="S306">
        <v>10</v>
      </c>
      <c r="T306" t="s">
        <v>41</v>
      </c>
      <c r="U306" t="s">
        <v>29</v>
      </c>
    </row>
    <row r="307" spans="1:21" x14ac:dyDescent="0.25">
      <c r="A307" t="s">
        <v>652</v>
      </c>
      <c r="B307">
        <v>28</v>
      </c>
      <c r="C307" t="s">
        <v>31</v>
      </c>
      <c r="D307" t="s">
        <v>49</v>
      </c>
      <c r="E307">
        <v>96929</v>
      </c>
      <c r="F307">
        <v>0</v>
      </c>
      <c r="G307" t="s">
        <v>653</v>
      </c>
      <c r="H307">
        <v>1651948</v>
      </c>
      <c r="I307">
        <v>12</v>
      </c>
      <c r="J307">
        <v>6.17</v>
      </c>
      <c r="K307" t="s">
        <v>33</v>
      </c>
      <c r="L307">
        <v>2190385.4494451</v>
      </c>
      <c r="M307">
        <v>762418.94074065494</v>
      </c>
      <c r="N307">
        <v>63534.91</v>
      </c>
      <c r="O307" t="s">
        <v>37</v>
      </c>
      <c r="P307">
        <v>2</v>
      </c>
      <c r="Q307">
        <v>32</v>
      </c>
      <c r="R307" t="s">
        <v>34</v>
      </c>
      <c r="S307">
        <v>0</v>
      </c>
      <c r="T307" t="s">
        <v>38</v>
      </c>
      <c r="U307" t="s">
        <v>29</v>
      </c>
    </row>
    <row r="308" spans="1:21" x14ac:dyDescent="0.25">
      <c r="A308" t="s">
        <v>654</v>
      </c>
      <c r="B308">
        <v>47</v>
      </c>
      <c r="C308" t="s">
        <v>22</v>
      </c>
      <c r="D308" t="s">
        <v>23</v>
      </c>
      <c r="E308">
        <v>142959</v>
      </c>
      <c r="F308">
        <v>2</v>
      </c>
      <c r="G308" t="s">
        <v>655</v>
      </c>
      <c r="H308">
        <v>1138963</v>
      </c>
      <c r="I308">
        <v>48</v>
      </c>
      <c r="J308">
        <v>7.51</v>
      </c>
      <c r="K308" t="s">
        <v>44</v>
      </c>
      <c r="L308">
        <v>0</v>
      </c>
      <c r="M308">
        <v>629248.77983763302</v>
      </c>
      <c r="N308">
        <v>13109.35</v>
      </c>
      <c r="O308" t="s">
        <v>26</v>
      </c>
      <c r="P308">
        <v>1</v>
      </c>
      <c r="Q308">
        <v>163</v>
      </c>
      <c r="R308" t="s">
        <v>27</v>
      </c>
      <c r="S308">
        <v>2</v>
      </c>
      <c r="T308" t="s">
        <v>41</v>
      </c>
      <c r="U308" t="s">
        <v>29</v>
      </c>
    </row>
    <row r="309" spans="1:21" x14ac:dyDescent="0.25">
      <c r="A309" t="s">
        <v>656</v>
      </c>
      <c r="B309">
        <v>47</v>
      </c>
      <c r="C309" t="s">
        <v>22</v>
      </c>
      <c r="D309" t="s">
        <v>49</v>
      </c>
      <c r="E309">
        <v>91153</v>
      </c>
      <c r="F309">
        <v>2</v>
      </c>
      <c r="G309" t="s">
        <v>657</v>
      </c>
      <c r="H309">
        <v>1959824</v>
      </c>
      <c r="I309">
        <v>60</v>
      </c>
      <c r="J309">
        <v>5.66</v>
      </c>
      <c r="K309" t="s">
        <v>25</v>
      </c>
      <c r="L309">
        <v>2345049.75339555</v>
      </c>
      <c r="M309">
        <v>1676644.9357533499</v>
      </c>
      <c r="N309">
        <v>27944.080000000002</v>
      </c>
      <c r="O309" t="s">
        <v>37</v>
      </c>
      <c r="P309">
        <v>2</v>
      </c>
      <c r="Q309">
        <v>125</v>
      </c>
      <c r="R309" t="s">
        <v>34</v>
      </c>
      <c r="S309">
        <v>0</v>
      </c>
      <c r="T309" t="s">
        <v>38</v>
      </c>
      <c r="U309" t="s">
        <v>29</v>
      </c>
    </row>
    <row r="310" spans="1:21" x14ac:dyDescent="0.25">
      <c r="A310" t="s">
        <v>658</v>
      </c>
      <c r="B310">
        <v>54</v>
      </c>
      <c r="C310" t="s">
        <v>31</v>
      </c>
      <c r="D310" t="s">
        <v>58</v>
      </c>
      <c r="E310">
        <v>90388</v>
      </c>
      <c r="F310">
        <v>0</v>
      </c>
      <c r="G310" t="s">
        <v>659</v>
      </c>
      <c r="H310">
        <v>1625506</v>
      </c>
      <c r="I310">
        <v>12</v>
      </c>
      <c r="J310">
        <v>13.14</v>
      </c>
      <c r="K310" t="s">
        <v>44</v>
      </c>
      <c r="L310">
        <v>0</v>
      </c>
      <c r="M310">
        <v>1114690.57598277</v>
      </c>
      <c r="N310">
        <v>92890.880000000005</v>
      </c>
      <c r="O310" t="s">
        <v>26</v>
      </c>
      <c r="P310">
        <v>1</v>
      </c>
      <c r="Q310">
        <v>26</v>
      </c>
      <c r="R310" t="s">
        <v>27</v>
      </c>
      <c r="S310">
        <v>5</v>
      </c>
      <c r="T310" t="s">
        <v>38</v>
      </c>
      <c r="U310" t="s">
        <v>29</v>
      </c>
    </row>
    <row r="311" spans="1:21" x14ac:dyDescent="0.25">
      <c r="A311" t="s">
        <v>660</v>
      </c>
      <c r="B311">
        <v>41</v>
      </c>
      <c r="C311" t="s">
        <v>22</v>
      </c>
      <c r="D311" t="s">
        <v>23</v>
      </c>
      <c r="E311">
        <v>46401</v>
      </c>
      <c r="F311">
        <v>2</v>
      </c>
      <c r="G311" t="s">
        <v>661</v>
      </c>
      <c r="H311">
        <v>1927145</v>
      </c>
      <c r="I311">
        <v>24</v>
      </c>
      <c r="J311">
        <v>8.74</v>
      </c>
      <c r="K311" t="s">
        <v>25</v>
      </c>
      <c r="L311">
        <v>2744395.1400890099</v>
      </c>
      <c r="M311">
        <v>1259501.3534965999</v>
      </c>
      <c r="N311">
        <v>52479.22</v>
      </c>
      <c r="O311" t="s">
        <v>26</v>
      </c>
      <c r="P311">
        <v>3</v>
      </c>
      <c r="Q311">
        <v>3</v>
      </c>
      <c r="R311" t="s">
        <v>65</v>
      </c>
      <c r="S311">
        <v>3</v>
      </c>
      <c r="T311" t="s">
        <v>38</v>
      </c>
      <c r="U311" t="s">
        <v>79</v>
      </c>
    </row>
    <row r="312" spans="1:21" x14ac:dyDescent="0.25">
      <c r="A312" t="s">
        <v>662</v>
      </c>
      <c r="B312">
        <v>50</v>
      </c>
      <c r="C312" t="s">
        <v>31</v>
      </c>
      <c r="D312" t="s">
        <v>49</v>
      </c>
      <c r="E312">
        <v>217903</v>
      </c>
      <c r="F312">
        <v>3</v>
      </c>
      <c r="G312" t="s">
        <v>663</v>
      </c>
      <c r="H312">
        <v>1571624</v>
      </c>
      <c r="I312">
        <v>72</v>
      </c>
      <c r="J312">
        <v>8.64</v>
      </c>
      <c r="K312" t="s">
        <v>44</v>
      </c>
      <c r="L312">
        <v>0</v>
      </c>
      <c r="M312">
        <v>405643.83957899699</v>
      </c>
      <c r="N312">
        <v>5633.94</v>
      </c>
      <c r="O312" t="s">
        <v>26</v>
      </c>
      <c r="P312">
        <v>3</v>
      </c>
      <c r="Q312">
        <v>146</v>
      </c>
      <c r="R312" t="s">
        <v>27</v>
      </c>
      <c r="S312">
        <v>9</v>
      </c>
      <c r="T312" t="s">
        <v>41</v>
      </c>
      <c r="U312" t="s">
        <v>29</v>
      </c>
    </row>
    <row r="313" spans="1:21" x14ac:dyDescent="0.25">
      <c r="A313" t="s">
        <v>664</v>
      </c>
      <c r="B313">
        <v>53</v>
      </c>
      <c r="C313" t="s">
        <v>31</v>
      </c>
      <c r="D313" t="s">
        <v>49</v>
      </c>
      <c r="E313">
        <v>134503</v>
      </c>
      <c r="F313">
        <v>3</v>
      </c>
      <c r="G313" t="s">
        <v>665</v>
      </c>
      <c r="H313">
        <v>236633</v>
      </c>
      <c r="I313">
        <v>48</v>
      </c>
      <c r="J313">
        <v>9.32</v>
      </c>
      <c r="K313" t="s">
        <v>33</v>
      </c>
      <c r="L313">
        <v>312432.24995053699</v>
      </c>
      <c r="M313">
        <v>132957.197280475</v>
      </c>
      <c r="N313">
        <v>2769.94</v>
      </c>
      <c r="O313" t="s">
        <v>26</v>
      </c>
      <c r="P313">
        <v>0</v>
      </c>
      <c r="Q313">
        <v>0</v>
      </c>
      <c r="R313" t="s">
        <v>27</v>
      </c>
      <c r="S313">
        <v>5</v>
      </c>
      <c r="T313" t="s">
        <v>28</v>
      </c>
      <c r="U313" t="s">
        <v>29</v>
      </c>
    </row>
    <row r="314" spans="1:21" x14ac:dyDescent="0.25">
      <c r="A314" t="s">
        <v>666</v>
      </c>
      <c r="B314">
        <v>48</v>
      </c>
      <c r="C314" t="s">
        <v>22</v>
      </c>
      <c r="D314" t="s">
        <v>23</v>
      </c>
      <c r="E314">
        <v>247601</v>
      </c>
      <c r="F314">
        <v>1</v>
      </c>
      <c r="G314" t="s">
        <v>667</v>
      </c>
      <c r="H314">
        <v>1947268</v>
      </c>
      <c r="I314">
        <v>24</v>
      </c>
      <c r="J314">
        <v>13.62</v>
      </c>
      <c r="K314" t="s">
        <v>25</v>
      </c>
      <c r="L314">
        <v>2067733.3782548001</v>
      </c>
      <c r="M314">
        <v>1448461.5063034999</v>
      </c>
      <c r="N314">
        <v>60352.56</v>
      </c>
      <c r="O314" t="s">
        <v>26</v>
      </c>
      <c r="P314">
        <v>0</v>
      </c>
      <c r="Q314">
        <v>0</v>
      </c>
      <c r="R314" t="s">
        <v>34</v>
      </c>
      <c r="S314">
        <v>0</v>
      </c>
      <c r="T314" t="s">
        <v>41</v>
      </c>
      <c r="U314" t="s">
        <v>29</v>
      </c>
    </row>
    <row r="315" spans="1:21" x14ac:dyDescent="0.25">
      <c r="A315" t="s">
        <v>668</v>
      </c>
      <c r="B315">
        <v>53</v>
      </c>
      <c r="C315" t="s">
        <v>31</v>
      </c>
      <c r="D315" t="s">
        <v>23</v>
      </c>
      <c r="E315">
        <v>142834</v>
      </c>
      <c r="F315">
        <v>1</v>
      </c>
      <c r="G315" t="s">
        <v>669</v>
      </c>
      <c r="H315">
        <v>1769374</v>
      </c>
      <c r="I315">
        <v>60</v>
      </c>
      <c r="J315">
        <v>16.32</v>
      </c>
      <c r="K315" t="s">
        <v>44</v>
      </c>
      <c r="L315">
        <v>0</v>
      </c>
      <c r="M315">
        <v>1726793.6514860699</v>
      </c>
      <c r="N315">
        <v>28779.89</v>
      </c>
      <c r="O315" t="s">
        <v>37</v>
      </c>
      <c r="P315">
        <v>0</v>
      </c>
      <c r="Q315">
        <v>0</v>
      </c>
      <c r="R315" t="s">
        <v>27</v>
      </c>
      <c r="S315">
        <v>2</v>
      </c>
      <c r="T315" t="s">
        <v>41</v>
      </c>
      <c r="U315" t="s">
        <v>29</v>
      </c>
    </row>
    <row r="316" spans="1:21" x14ac:dyDescent="0.25">
      <c r="A316" t="s">
        <v>670</v>
      </c>
      <c r="B316">
        <v>25</v>
      </c>
      <c r="C316" t="s">
        <v>22</v>
      </c>
      <c r="D316" t="s">
        <v>23</v>
      </c>
      <c r="E316">
        <v>49084</v>
      </c>
      <c r="F316">
        <v>0</v>
      </c>
      <c r="G316" t="s">
        <v>671</v>
      </c>
      <c r="H316">
        <v>884874</v>
      </c>
      <c r="I316">
        <v>48</v>
      </c>
      <c r="J316">
        <v>14.87</v>
      </c>
      <c r="K316" t="s">
        <v>25</v>
      </c>
      <c r="L316">
        <v>1036546.77712455</v>
      </c>
      <c r="M316">
        <v>248884.68581297001</v>
      </c>
      <c r="N316">
        <v>5185.1000000000004</v>
      </c>
      <c r="O316" t="s">
        <v>37</v>
      </c>
      <c r="P316">
        <v>1</v>
      </c>
      <c r="Q316">
        <v>72</v>
      </c>
      <c r="R316" t="s">
        <v>65</v>
      </c>
      <c r="S316">
        <v>4</v>
      </c>
      <c r="T316" t="s">
        <v>45</v>
      </c>
      <c r="U316" t="s">
        <v>79</v>
      </c>
    </row>
    <row r="317" spans="1:21" x14ac:dyDescent="0.25">
      <c r="A317" t="s">
        <v>672</v>
      </c>
      <c r="B317">
        <v>39</v>
      </c>
      <c r="C317" t="s">
        <v>31</v>
      </c>
      <c r="D317" t="s">
        <v>49</v>
      </c>
      <c r="E317">
        <v>125641</v>
      </c>
      <c r="F317">
        <v>1</v>
      </c>
      <c r="G317" t="s">
        <v>673</v>
      </c>
      <c r="H317">
        <v>939493</v>
      </c>
      <c r="I317">
        <v>48</v>
      </c>
      <c r="J317">
        <v>14.46</v>
      </c>
      <c r="K317" t="s">
        <v>44</v>
      </c>
      <c r="L317">
        <v>0</v>
      </c>
      <c r="M317">
        <v>102018.62206286901</v>
      </c>
      <c r="N317">
        <v>2125.39</v>
      </c>
      <c r="O317" t="s">
        <v>26</v>
      </c>
      <c r="P317">
        <v>0</v>
      </c>
      <c r="Q317">
        <v>0</v>
      </c>
      <c r="R317" t="s">
        <v>27</v>
      </c>
      <c r="S317">
        <v>0</v>
      </c>
      <c r="T317" t="s">
        <v>38</v>
      </c>
      <c r="U317" t="s">
        <v>29</v>
      </c>
    </row>
    <row r="318" spans="1:21" x14ac:dyDescent="0.25">
      <c r="A318" t="s">
        <v>674</v>
      </c>
      <c r="B318">
        <v>24</v>
      </c>
      <c r="C318" t="s">
        <v>31</v>
      </c>
      <c r="D318" t="s">
        <v>58</v>
      </c>
      <c r="E318">
        <v>120111</v>
      </c>
      <c r="F318">
        <v>3</v>
      </c>
      <c r="G318" t="s">
        <v>675</v>
      </c>
      <c r="H318">
        <v>446210</v>
      </c>
      <c r="I318">
        <v>72</v>
      </c>
      <c r="J318">
        <v>11.3</v>
      </c>
      <c r="K318" t="s">
        <v>25</v>
      </c>
      <c r="L318">
        <v>636433.01624500705</v>
      </c>
      <c r="M318">
        <v>74861.227417375907</v>
      </c>
      <c r="N318">
        <v>1039.74</v>
      </c>
      <c r="O318" t="s">
        <v>26</v>
      </c>
      <c r="P318">
        <v>2</v>
      </c>
      <c r="Q318">
        <v>120</v>
      </c>
      <c r="R318" t="s">
        <v>27</v>
      </c>
      <c r="S318">
        <v>2</v>
      </c>
      <c r="T318" t="s">
        <v>28</v>
      </c>
      <c r="U318" t="s">
        <v>29</v>
      </c>
    </row>
    <row r="319" spans="1:21" x14ac:dyDescent="0.25">
      <c r="A319" t="s">
        <v>676</v>
      </c>
      <c r="B319">
        <v>55</v>
      </c>
      <c r="C319" t="s">
        <v>22</v>
      </c>
      <c r="D319" t="s">
        <v>49</v>
      </c>
      <c r="E319">
        <v>201898</v>
      </c>
      <c r="F319">
        <v>0</v>
      </c>
      <c r="G319" t="s">
        <v>677</v>
      </c>
      <c r="H319">
        <v>828799</v>
      </c>
      <c r="I319">
        <v>60</v>
      </c>
      <c r="J319">
        <v>14.02</v>
      </c>
      <c r="K319" t="s">
        <v>44</v>
      </c>
      <c r="L319">
        <v>0</v>
      </c>
      <c r="M319">
        <v>363235.43256132299</v>
      </c>
      <c r="N319">
        <v>6053.92</v>
      </c>
      <c r="O319" t="s">
        <v>26</v>
      </c>
      <c r="P319">
        <v>1</v>
      </c>
      <c r="Q319">
        <v>122</v>
      </c>
      <c r="R319" t="s">
        <v>27</v>
      </c>
      <c r="S319">
        <v>6</v>
      </c>
      <c r="T319" t="s">
        <v>45</v>
      </c>
      <c r="U319" t="s">
        <v>29</v>
      </c>
    </row>
    <row r="320" spans="1:21" x14ac:dyDescent="0.25">
      <c r="A320" t="s">
        <v>678</v>
      </c>
      <c r="B320">
        <v>37</v>
      </c>
      <c r="C320" t="s">
        <v>22</v>
      </c>
      <c r="D320" t="s">
        <v>23</v>
      </c>
      <c r="E320">
        <v>182523</v>
      </c>
      <c r="F320">
        <v>0</v>
      </c>
      <c r="G320" t="s">
        <v>679</v>
      </c>
      <c r="H320">
        <v>1486564</v>
      </c>
      <c r="I320">
        <v>36</v>
      </c>
      <c r="J320">
        <v>12.19</v>
      </c>
      <c r="K320" t="s">
        <v>64</v>
      </c>
      <c r="L320">
        <v>1663714.9245221401</v>
      </c>
      <c r="M320">
        <v>1246469.3203586801</v>
      </c>
      <c r="N320">
        <v>34624.15</v>
      </c>
      <c r="O320" t="s">
        <v>37</v>
      </c>
      <c r="P320">
        <v>3</v>
      </c>
      <c r="Q320">
        <v>112</v>
      </c>
      <c r="R320" t="s">
        <v>27</v>
      </c>
      <c r="S320">
        <v>8</v>
      </c>
      <c r="T320" t="s">
        <v>28</v>
      </c>
      <c r="U320" t="s">
        <v>29</v>
      </c>
    </row>
    <row r="321" spans="1:21" x14ac:dyDescent="0.25">
      <c r="A321" t="s">
        <v>680</v>
      </c>
      <c r="B321">
        <v>64</v>
      </c>
      <c r="C321" t="s">
        <v>31</v>
      </c>
      <c r="D321" t="s">
        <v>49</v>
      </c>
      <c r="E321">
        <v>153299</v>
      </c>
      <c r="F321">
        <v>1</v>
      </c>
      <c r="G321" t="s">
        <v>681</v>
      </c>
      <c r="H321">
        <v>1460295</v>
      </c>
      <c r="I321">
        <v>60</v>
      </c>
      <c r="J321">
        <v>7.81</v>
      </c>
      <c r="K321" t="s">
        <v>44</v>
      </c>
      <c r="L321">
        <v>0</v>
      </c>
      <c r="M321">
        <v>155416.091666183</v>
      </c>
      <c r="N321">
        <v>2590.27</v>
      </c>
      <c r="O321" t="s">
        <v>68</v>
      </c>
      <c r="P321">
        <v>2</v>
      </c>
      <c r="Q321">
        <v>87</v>
      </c>
      <c r="R321" t="s">
        <v>34</v>
      </c>
      <c r="S321">
        <v>0</v>
      </c>
      <c r="T321" t="s">
        <v>28</v>
      </c>
      <c r="U321" t="s">
        <v>29</v>
      </c>
    </row>
    <row r="322" spans="1:21" x14ac:dyDescent="0.25">
      <c r="A322" t="s">
        <v>682</v>
      </c>
      <c r="B322">
        <v>48</v>
      </c>
      <c r="C322" t="s">
        <v>22</v>
      </c>
      <c r="D322" t="s">
        <v>23</v>
      </c>
      <c r="E322">
        <v>177982</v>
      </c>
      <c r="F322">
        <v>3</v>
      </c>
      <c r="G322" t="s">
        <v>683</v>
      </c>
      <c r="H322">
        <v>838245</v>
      </c>
      <c r="I322">
        <v>72</v>
      </c>
      <c r="J322">
        <v>7.71</v>
      </c>
      <c r="K322" t="s">
        <v>25</v>
      </c>
      <c r="L322">
        <v>1110512.8001093499</v>
      </c>
      <c r="M322">
        <v>428391.42225023202</v>
      </c>
      <c r="N322">
        <v>5949.88</v>
      </c>
      <c r="O322" t="s">
        <v>68</v>
      </c>
      <c r="P322">
        <v>0</v>
      </c>
      <c r="Q322">
        <v>0</v>
      </c>
      <c r="R322" t="s">
        <v>27</v>
      </c>
      <c r="S322">
        <v>1</v>
      </c>
      <c r="T322" t="s">
        <v>38</v>
      </c>
      <c r="U322" t="s">
        <v>29</v>
      </c>
    </row>
    <row r="323" spans="1:21" x14ac:dyDescent="0.25">
      <c r="A323" t="s">
        <v>684</v>
      </c>
      <c r="B323">
        <v>50</v>
      </c>
      <c r="C323" t="s">
        <v>22</v>
      </c>
      <c r="D323" t="s">
        <v>23</v>
      </c>
      <c r="E323">
        <v>51041</v>
      </c>
      <c r="F323">
        <v>0</v>
      </c>
      <c r="G323" t="s">
        <v>685</v>
      </c>
      <c r="H323">
        <v>929459</v>
      </c>
      <c r="I323">
        <v>24</v>
      </c>
      <c r="J323">
        <v>8.85</v>
      </c>
      <c r="K323" t="s">
        <v>44</v>
      </c>
      <c r="L323">
        <v>0</v>
      </c>
      <c r="M323">
        <v>368351.62265413802</v>
      </c>
      <c r="N323">
        <v>15347.98</v>
      </c>
      <c r="O323" t="s">
        <v>37</v>
      </c>
      <c r="P323">
        <v>2</v>
      </c>
      <c r="Q323">
        <v>47</v>
      </c>
      <c r="R323" t="s">
        <v>34</v>
      </c>
      <c r="S323">
        <v>3</v>
      </c>
      <c r="T323" t="s">
        <v>41</v>
      </c>
      <c r="U323" t="s">
        <v>29</v>
      </c>
    </row>
    <row r="324" spans="1:21" x14ac:dyDescent="0.25">
      <c r="A324" t="s">
        <v>686</v>
      </c>
      <c r="B324">
        <v>49</v>
      </c>
      <c r="C324" t="s">
        <v>22</v>
      </c>
      <c r="D324" t="s">
        <v>23</v>
      </c>
      <c r="E324">
        <v>103920</v>
      </c>
      <c r="F324">
        <v>3</v>
      </c>
      <c r="G324" t="s">
        <v>687</v>
      </c>
      <c r="H324">
        <v>134381</v>
      </c>
      <c r="I324">
        <v>24</v>
      </c>
      <c r="J324">
        <v>16.84</v>
      </c>
      <c r="K324" t="s">
        <v>44</v>
      </c>
      <c r="L324">
        <v>0</v>
      </c>
      <c r="M324">
        <v>19785.390216420299</v>
      </c>
      <c r="N324">
        <v>824.39</v>
      </c>
      <c r="O324" t="s">
        <v>26</v>
      </c>
      <c r="P324">
        <v>2</v>
      </c>
      <c r="Q324">
        <v>13</v>
      </c>
      <c r="R324" t="s">
        <v>34</v>
      </c>
      <c r="S324">
        <v>3</v>
      </c>
      <c r="T324" t="s">
        <v>38</v>
      </c>
      <c r="U324" t="s">
        <v>29</v>
      </c>
    </row>
    <row r="325" spans="1:21" x14ac:dyDescent="0.25">
      <c r="A325" t="s">
        <v>688</v>
      </c>
      <c r="B325">
        <v>26</v>
      </c>
      <c r="C325" t="s">
        <v>22</v>
      </c>
      <c r="D325" t="s">
        <v>49</v>
      </c>
      <c r="E325">
        <v>80681</v>
      </c>
      <c r="F325">
        <v>3</v>
      </c>
      <c r="G325" t="s">
        <v>689</v>
      </c>
      <c r="H325">
        <v>1872744</v>
      </c>
      <c r="I325">
        <v>24</v>
      </c>
      <c r="J325">
        <v>12.12</v>
      </c>
      <c r="K325" t="s">
        <v>25</v>
      </c>
      <c r="L325">
        <v>2226337.7377351299</v>
      </c>
      <c r="M325">
        <v>946133.97400358203</v>
      </c>
      <c r="N325">
        <v>39422.25</v>
      </c>
      <c r="O325" t="s">
        <v>26</v>
      </c>
      <c r="P325">
        <v>0</v>
      </c>
      <c r="Q325">
        <v>0</v>
      </c>
      <c r="R325" t="s">
        <v>34</v>
      </c>
      <c r="S325">
        <v>2</v>
      </c>
      <c r="T325" t="s">
        <v>38</v>
      </c>
      <c r="U325" t="s">
        <v>29</v>
      </c>
    </row>
    <row r="326" spans="1:21" x14ac:dyDescent="0.25">
      <c r="A326" t="s">
        <v>690</v>
      </c>
      <c r="B326">
        <v>55</v>
      </c>
      <c r="C326" t="s">
        <v>22</v>
      </c>
      <c r="D326" t="s">
        <v>23</v>
      </c>
      <c r="E326">
        <v>249386</v>
      </c>
      <c r="F326">
        <v>3</v>
      </c>
      <c r="G326" t="s">
        <v>691</v>
      </c>
      <c r="H326">
        <v>891708</v>
      </c>
      <c r="I326">
        <v>60</v>
      </c>
      <c r="J326">
        <v>14.54</v>
      </c>
      <c r="K326" t="s">
        <v>64</v>
      </c>
      <c r="L326">
        <v>938020.06864850596</v>
      </c>
      <c r="M326">
        <v>293616.11428962997</v>
      </c>
      <c r="N326">
        <v>4893.6000000000004</v>
      </c>
      <c r="O326" t="s">
        <v>26</v>
      </c>
      <c r="P326">
        <v>2</v>
      </c>
      <c r="Q326">
        <v>64</v>
      </c>
      <c r="R326" t="s">
        <v>34</v>
      </c>
      <c r="S326">
        <v>0</v>
      </c>
      <c r="T326" t="s">
        <v>45</v>
      </c>
      <c r="U326" t="s">
        <v>29</v>
      </c>
    </row>
    <row r="327" spans="1:21" x14ac:dyDescent="0.25">
      <c r="A327" t="s">
        <v>692</v>
      </c>
      <c r="B327">
        <v>61</v>
      </c>
      <c r="C327" t="s">
        <v>22</v>
      </c>
      <c r="D327" t="s">
        <v>49</v>
      </c>
      <c r="E327">
        <v>96571</v>
      </c>
      <c r="F327">
        <v>1</v>
      </c>
      <c r="G327" t="s">
        <v>693</v>
      </c>
      <c r="H327">
        <v>1926251</v>
      </c>
      <c r="I327">
        <v>48</v>
      </c>
      <c r="J327">
        <v>9.51</v>
      </c>
      <c r="K327" t="s">
        <v>44</v>
      </c>
      <c r="L327">
        <v>0</v>
      </c>
      <c r="M327">
        <v>802661.76264117996</v>
      </c>
      <c r="N327">
        <v>16722.12</v>
      </c>
      <c r="O327" t="s">
        <v>68</v>
      </c>
      <c r="P327">
        <v>3</v>
      </c>
      <c r="Q327">
        <v>122</v>
      </c>
      <c r="R327" t="s">
        <v>34</v>
      </c>
      <c r="S327">
        <v>3</v>
      </c>
      <c r="T327" t="s">
        <v>38</v>
      </c>
      <c r="U327" t="s">
        <v>29</v>
      </c>
    </row>
    <row r="328" spans="1:21" x14ac:dyDescent="0.25">
      <c r="A328" t="s">
        <v>694</v>
      </c>
      <c r="B328">
        <v>57</v>
      </c>
      <c r="C328" t="s">
        <v>22</v>
      </c>
      <c r="D328" t="s">
        <v>23</v>
      </c>
      <c r="E328">
        <v>211553</v>
      </c>
      <c r="F328">
        <v>2</v>
      </c>
      <c r="G328" t="s">
        <v>695</v>
      </c>
      <c r="H328">
        <v>243984</v>
      </c>
      <c r="I328">
        <v>48</v>
      </c>
      <c r="J328">
        <v>10.3</v>
      </c>
      <c r="K328" t="s">
        <v>44</v>
      </c>
      <c r="L328">
        <v>0</v>
      </c>
      <c r="M328">
        <v>179341.36007024199</v>
      </c>
      <c r="N328">
        <v>3736.28</v>
      </c>
      <c r="O328" t="s">
        <v>26</v>
      </c>
      <c r="P328">
        <v>1</v>
      </c>
      <c r="Q328">
        <v>29</v>
      </c>
      <c r="R328" t="s">
        <v>34</v>
      </c>
      <c r="S328">
        <v>1</v>
      </c>
      <c r="T328" t="s">
        <v>41</v>
      </c>
      <c r="U328" t="s">
        <v>29</v>
      </c>
    </row>
    <row r="329" spans="1:21" x14ac:dyDescent="0.25">
      <c r="A329" t="s">
        <v>696</v>
      </c>
      <c r="B329">
        <v>44</v>
      </c>
      <c r="C329" t="s">
        <v>31</v>
      </c>
      <c r="D329" t="s">
        <v>23</v>
      </c>
      <c r="E329">
        <v>214648</v>
      </c>
      <c r="F329">
        <v>2</v>
      </c>
      <c r="G329" t="s">
        <v>697</v>
      </c>
      <c r="H329">
        <v>1158848</v>
      </c>
      <c r="I329">
        <v>72</v>
      </c>
      <c r="J329">
        <v>6.63</v>
      </c>
      <c r="K329" t="s">
        <v>44</v>
      </c>
      <c r="L329">
        <v>0</v>
      </c>
      <c r="M329">
        <v>659843.28314293094</v>
      </c>
      <c r="N329">
        <v>9164.49</v>
      </c>
      <c r="O329" t="s">
        <v>26</v>
      </c>
      <c r="P329">
        <v>0</v>
      </c>
      <c r="Q329">
        <v>0</v>
      </c>
      <c r="R329" t="s">
        <v>34</v>
      </c>
      <c r="S329">
        <v>0</v>
      </c>
      <c r="T329" t="s">
        <v>28</v>
      </c>
      <c r="U329" t="s">
        <v>29</v>
      </c>
    </row>
    <row r="330" spans="1:21" x14ac:dyDescent="0.25">
      <c r="A330" t="s">
        <v>698</v>
      </c>
      <c r="B330">
        <v>49</v>
      </c>
      <c r="C330" t="s">
        <v>22</v>
      </c>
      <c r="D330" t="s">
        <v>23</v>
      </c>
      <c r="E330">
        <v>142556</v>
      </c>
      <c r="F330">
        <v>0</v>
      </c>
      <c r="G330" t="s">
        <v>699</v>
      </c>
      <c r="H330">
        <v>1594492</v>
      </c>
      <c r="I330">
        <v>60</v>
      </c>
      <c r="J330">
        <v>7.23</v>
      </c>
      <c r="K330" t="s">
        <v>44</v>
      </c>
      <c r="L330">
        <v>0</v>
      </c>
      <c r="M330">
        <v>338323.59551464801</v>
      </c>
      <c r="N330">
        <v>5638.73</v>
      </c>
      <c r="O330" t="s">
        <v>37</v>
      </c>
      <c r="P330">
        <v>2</v>
      </c>
      <c r="Q330">
        <v>16</v>
      </c>
      <c r="R330" t="s">
        <v>34</v>
      </c>
      <c r="S330">
        <v>2</v>
      </c>
      <c r="T330" t="s">
        <v>38</v>
      </c>
      <c r="U330" t="s">
        <v>29</v>
      </c>
    </row>
    <row r="331" spans="1:21" x14ac:dyDescent="0.25">
      <c r="A331" t="s">
        <v>700</v>
      </c>
      <c r="B331">
        <v>51</v>
      </c>
      <c r="C331" t="s">
        <v>22</v>
      </c>
      <c r="D331" t="s">
        <v>23</v>
      </c>
      <c r="E331">
        <v>210246</v>
      </c>
      <c r="F331">
        <v>3</v>
      </c>
      <c r="G331" t="s">
        <v>701</v>
      </c>
      <c r="H331">
        <v>1795987</v>
      </c>
      <c r="I331">
        <v>24</v>
      </c>
      <c r="J331">
        <v>15.76</v>
      </c>
      <c r="K331" t="s">
        <v>44</v>
      </c>
      <c r="L331">
        <v>0</v>
      </c>
      <c r="M331">
        <v>1733617.91459065</v>
      </c>
      <c r="N331">
        <v>72234.080000000002</v>
      </c>
      <c r="O331" t="s">
        <v>26</v>
      </c>
      <c r="P331">
        <v>3</v>
      </c>
      <c r="Q331">
        <v>102</v>
      </c>
      <c r="R331" t="s">
        <v>34</v>
      </c>
      <c r="S331">
        <v>3</v>
      </c>
      <c r="T331" t="s">
        <v>28</v>
      </c>
      <c r="U331" t="s">
        <v>29</v>
      </c>
    </row>
    <row r="332" spans="1:21" x14ac:dyDescent="0.25">
      <c r="A332" t="s">
        <v>702</v>
      </c>
      <c r="B332">
        <v>55</v>
      </c>
      <c r="C332" t="s">
        <v>22</v>
      </c>
      <c r="D332" t="s">
        <v>58</v>
      </c>
      <c r="E332">
        <v>41160</v>
      </c>
      <c r="F332">
        <v>1</v>
      </c>
      <c r="G332" t="s">
        <v>703</v>
      </c>
      <c r="H332">
        <v>1046358</v>
      </c>
      <c r="I332">
        <v>36</v>
      </c>
      <c r="J332">
        <v>12.6</v>
      </c>
      <c r="K332" t="s">
        <v>25</v>
      </c>
      <c r="L332">
        <v>776228.33047841804</v>
      </c>
      <c r="M332">
        <v>703487.08528785896</v>
      </c>
      <c r="N332">
        <v>19541.310000000001</v>
      </c>
      <c r="O332" t="s">
        <v>26</v>
      </c>
      <c r="P332">
        <v>1</v>
      </c>
      <c r="Q332">
        <v>125</v>
      </c>
      <c r="R332" t="s">
        <v>27</v>
      </c>
      <c r="S332">
        <v>10</v>
      </c>
      <c r="T332" t="s">
        <v>38</v>
      </c>
      <c r="U332" t="s">
        <v>29</v>
      </c>
    </row>
    <row r="333" spans="1:21" x14ac:dyDescent="0.25">
      <c r="A333" t="s">
        <v>704</v>
      </c>
      <c r="B333">
        <v>53</v>
      </c>
      <c r="C333" t="s">
        <v>22</v>
      </c>
      <c r="D333" t="s">
        <v>23</v>
      </c>
      <c r="E333">
        <v>32633</v>
      </c>
      <c r="F333">
        <v>3</v>
      </c>
      <c r="G333" t="s">
        <v>705</v>
      </c>
      <c r="H333">
        <v>788096</v>
      </c>
      <c r="I333">
        <v>36</v>
      </c>
      <c r="J333">
        <v>9.39</v>
      </c>
      <c r="K333" t="s">
        <v>44</v>
      </c>
      <c r="L333">
        <v>0</v>
      </c>
      <c r="M333">
        <v>622029.65851184505</v>
      </c>
      <c r="N333">
        <v>17278.599999999999</v>
      </c>
      <c r="O333" t="s">
        <v>37</v>
      </c>
      <c r="P333">
        <v>1</v>
      </c>
      <c r="Q333">
        <v>18</v>
      </c>
      <c r="R333" t="s">
        <v>65</v>
      </c>
      <c r="S333">
        <v>0</v>
      </c>
      <c r="T333" t="s">
        <v>28</v>
      </c>
      <c r="U333" t="s">
        <v>79</v>
      </c>
    </row>
    <row r="334" spans="1:21" x14ac:dyDescent="0.25">
      <c r="A334" t="s">
        <v>706</v>
      </c>
      <c r="B334">
        <v>41</v>
      </c>
      <c r="C334" t="s">
        <v>22</v>
      </c>
      <c r="D334" t="s">
        <v>49</v>
      </c>
      <c r="E334">
        <v>240952</v>
      </c>
      <c r="F334">
        <v>3</v>
      </c>
      <c r="G334" t="s">
        <v>707</v>
      </c>
      <c r="H334">
        <v>303091</v>
      </c>
      <c r="I334">
        <v>36</v>
      </c>
      <c r="J334">
        <v>15.44</v>
      </c>
      <c r="K334" t="s">
        <v>44</v>
      </c>
      <c r="L334">
        <v>0</v>
      </c>
      <c r="M334">
        <v>51917.013564268404</v>
      </c>
      <c r="N334">
        <v>1442.14</v>
      </c>
      <c r="O334" t="s">
        <v>26</v>
      </c>
      <c r="P334">
        <v>1</v>
      </c>
      <c r="Q334">
        <v>147</v>
      </c>
      <c r="R334" t="s">
        <v>27</v>
      </c>
      <c r="S334">
        <v>0</v>
      </c>
      <c r="T334" t="s">
        <v>38</v>
      </c>
      <c r="U334" t="s">
        <v>29</v>
      </c>
    </row>
    <row r="335" spans="1:21" x14ac:dyDescent="0.25">
      <c r="A335" t="s">
        <v>708</v>
      </c>
      <c r="B335">
        <v>52</v>
      </c>
      <c r="C335" t="s">
        <v>31</v>
      </c>
      <c r="D335" t="s">
        <v>23</v>
      </c>
      <c r="E335">
        <v>32014</v>
      </c>
      <c r="F335">
        <v>1</v>
      </c>
      <c r="G335" t="s">
        <v>709</v>
      </c>
      <c r="H335">
        <v>902050</v>
      </c>
      <c r="I335">
        <v>60</v>
      </c>
      <c r="J335">
        <v>8.1999999999999993</v>
      </c>
      <c r="K335" t="s">
        <v>33</v>
      </c>
      <c r="L335">
        <v>835296.06243649602</v>
      </c>
      <c r="M335">
        <v>128409.11007271901</v>
      </c>
      <c r="N335">
        <v>2140.15</v>
      </c>
      <c r="O335" t="s">
        <v>26</v>
      </c>
      <c r="P335">
        <v>1</v>
      </c>
      <c r="Q335">
        <v>161</v>
      </c>
      <c r="R335" t="s">
        <v>65</v>
      </c>
      <c r="S335">
        <v>7</v>
      </c>
      <c r="T335" t="s">
        <v>45</v>
      </c>
      <c r="U335" t="s">
        <v>79</v>
      </c>
    </row>
    <row r="336" spans="1:21" x14ac:dyDescent="0.25">
      <c r="A336" t="s">
        <v>710</v>
      </c>
      <c r="B336">
        <v>43</v>
      </c>
      <c r="C336" t="s">
        <v>31</v>
      </c>
      <c r="D336" t="s">
        <v>49</v>
      </c>
      <c r="E336">
        <v>95532</v>
      </c>
      <c r="F336">
        <v>2</v>
      </c>
      <c r="G336" t="s">
        <v>711</v>
      </c>
      <c r="H336">
        <v>314064</v>
      </c>
      <c r="I336">
        <v>72</v>
      </c>
      <c r="J336">
        <v>17.690000000000001</v>
      </c>
      <c r="K336" t="s">
        <v>44</v>
      </c>
      <c r="L336">
        <v>0</v>
      </c>
      <c r="M336">
        <v>36903.5392417209</v>
      </c>
      <c r="N336">
        <v>512.54999999999995</v>
      </c>
      <c r="O336" t="s">
        <v>37</v>
      </c>
      <c r="P336">
        <v>3</v>
      </c>
      <c r="Q336">
        <v>175</v>
      </c>
      <c r="R336" t="s">
        <v>27</v>
      </c>
      <c r="S336">
        <v>6</v>
      </c>
      <c r="T336" t="s">
        <v>28</v>
      </c>
      <c r="U336" t="s">
        <v>29</v>
      </c>
    </row>
    <row r="337" spans="1:21" x14ac:dyDescent="0.25">
      <c r="A337" t="s">
        <v>712</v>
      </c>
      <c r="B337">
        <v>53</v>
      </c>
      <c r="C337" t="s">
        <v>22</v>
      </c>
      <c r="D337" t="s">
        <v>23</v>
      </c>
      <c r="E337">
        <v>64104</v>
      </c>
      <c r="F337">
        <v>3</v>
      </c>
      <c r="G337" t="s">
        <v>713</v>
      </c>
      <c r="H337">
        <v>1204697</v>
      </c>
      <c r="I337">
        <v>36</v>
      </c>
      <c r="J337">
        <v>9.48</v>
      </c>
      <c r="K337" t="s">
        <v>44</v>
      </c>
      <c r="L337">
        <v>0</v>
      </c>
      <c r="M337">
        <v>325165.33898892702</v>
      </c>
      <c r="N337">
        <v>9032.3700000000008</v>
      </c>
      <c r="O337" t="s">
        <v>37</v>
      </c>
      <c r="P337">
        <v>0</v>
      </c>
      <c r="Q337">
        <v>0</v>
      </c>
      <c r="R337" t="s">
        <v>34</v>
      </c>
      <c r="S337">
        <v>3</v>
      </c>
      <c r="T337" t="s">
        <v>38</v>
      </c>
      <c r="U337" t="s">
        <v>29</v>
      </c>
    </row>
    <row r="338" spans="1:21" x14ac:dyDescent="0.25">
      <c r="A338" t="s">
        <v>714</v>
      </c>
      <c r="B338">
        <v>23</v>
      </c>
      <c r="C338" t="s">
        <v>31</v>
      </c>
      <c r="D338" t="s">
        <v>49</v>
      </c>
      <c r="E338">
        <v>187693</v>
      </c>
      <c r="F338">
        <v>3</v>
      </c>
      <c r="G338" t="s">
        <v>715</v>
      </c>
      <c r="H338">
        <v>520435</v>
      </c>
      <c r="I338">
        <v>48</v>
      </c>
      <c r="J338">
        <v>9.39</v>
      </c>
      <c r="K338" t="s">
        <v>44</v>
      </c>
      <c r="L338">
        <v>0</v>
      </c>
      <c r="M338">
        <v>246148.871019963</v>
      </c>
      <c r="N338">
        <v>5128.1000000000004</v>
      </c>
      <c r="O338" t="s">
        <v>68</v>
      </c>
      <c r="P338">
        <v>2</v>
      </c>
      <c r="Q338">
        <v>13</v>
      </c>
      <c r="R338" t="s">
        <v>27</v>
      </c>
      <c r="S338">
        <v>10</v>
      </c>
      <c r="T338" t="s">
        <v>38</v>
      </c>
      <c r="U338" t="s">
        <v>29</v>
      </c>
    </row>
    <row r="339" spans="1:21" x14ac:dyDescent="0.25">
      <c r="A339" t="s">
        <v>716</v>
      </c>
      <c r="B339">
        <v>38</v>
      </c>
      <c r="C339" t="s">
        <v>31</v>
      </c>
      <c r="D339" t="s">
        <v>49</v>
      </c>
      <c r="E339">
        <v>92231</v>
      </c>
      <c r="F339">
        <v>2</v>
      </c>
      <c r="G339" t="s">
        <v>717</v>
      </c>
      <c r="H339">
        <v>651160</v>
      </c>
      <c r="I339">
        <v>60</v>
      </c>
      <c r="J339">
        <v>9.0500000000000007</v>
      </c>
      <c r="K339" t="s">
        <v>25</v>
      </c>
      <c r="L339">
        <v>955735.41781872197</v>
      </c>
      <c r="M339">
        <v>613551.29052392405</v>
      </c>
      <c r="N339">
        <v>10225.85</v>
      </c>
      <c r="O339" t="s">
        <v>26</v>
      </c>
      <c r="P339">
        <v>2</v>
      </c>
      <c r="Q339">
        <v>38</v>
      </c>
      <c r="R339" t="s">
        <v>27</v>
      </c>
      <c r="S339">
        <v>1</v>
      </c>
      <c r="T339" t="s">
        <v>45</v>
      </c>
      <c r="U339" t="s">
        <v>29</v>
      </c>
    </row>
    <row r="340" spans="1:21" x14ac:dyDescent="0.25">
      <c r="A340" t="s">
        <v>718</v>
      </c>
      <c r="B340">
        <v>45</v>
      </c>
      <c r="C340" t="s">
        <v>22</v>
      </c>
      <c r="D340" t="s">
        <v>23</v>
      </c>
      <c r="E340">
        <v>83388</v>
      </c>
      <c r="F340">
        <v>1</v>
      </c>
      <c r="G340" t="s">
        <v>719</v>
      </c>
      <c r="H340">
        <v>1966140</v>
      </c>
      <c r="I340">
        <v>36</v>
      </c>
      <c r="J340">
        <v>6.59</v>
      </c>
      <c r="K340" t="s">
        <v>44</v>
      </c>
      <c r="L340">
        <v>0</v>
      </c>
      <c r="M340">
        <v>1005392.95062193</v>
      </c>
      <c r="N340">
        <v>27927.58</v>
      </c>
      <c r="O340" t="s">
        <v>26</v>
      </c>
      <c r="P340">
        <v>3</v>
      </c>
      <c r="Q340">
        <v>38</v>
      </c>
      <c r="R340" t="s">
        <v>34</v>
      </c>
      <c r="S340">
        <v>3</v>
      </c>
      <c r="T340" t="s">
        <v>45</v>
      </c>
      <c r="U340" t="s">
        <v>29</v>
      </c>
    </row>
    <row r="341" spans="1:21" x14ac:dyDescent="0.25">
      <c r="A341" t="s">
        <v>720</v>
      </c>
      <c r="B341">
        <v>62</v>
      </c>
      <c r="C341" t="s">
        <v>31</v>
      </c>
      <c r="D341" t="s">
        <v>23</v>
      </c>
      <c r="E341">
        <v>31014</v>
      </c>
      <c r="F341">
        <v>0</v>
      </c>
      <c r="G341" t="s">
        <v>721</v>
      </c>
      <c r="H341">
        <v>314237</v>
      </c>
      <c r="I341">
        <v>24</v>
      </c>
      <c r="J341">
        <v>6.44</v>
      </c>
      <c r="K341" t="s">
        <v>25</v>
      </c>
      <c r="L341">
        <v>363812.720743432</v>
      </c>
      <c r="M341">
        <v>113511.704192253</v>
      </c>
      <c r="N341">
        <v>4729.6499999999996</v>
      </c>
      <c r="O341" t="s">
        <v>37</v>
      </c>
      <c r="P341">
        <v>1</v>
      </c>
      <c r="Q341">
        <v>144</v>
      </c>
      <c r="R341" t="s">
        <v>34</v>
      </c>
      <c r="S341">
        <v>3</v>
      </c>
      <c r="T341" t="s">
        <v>45</v>
      </c>
      <c r="U341" t="s">
        <v>29</v>
      </c>
    </row>
    <row r="342" spans="1:21" x14ac:dyDescent="0.25">
      <c r="A342" t="s">
        <v>722</v>
      </c>
      <c r="B342">
        <v>51</v>
      </c>
      <c r="C342" t="s">
        <v>31</v>
      </c>
      <c r="D342" t="s">
        <v>49</v>
      </c>
      <c r="E342">
        <v>107578</v>
      </c>
      <c r="F342">
        <v>2</v>
      </c>
      <c r="G342" t="s">
        <v>723</v>
      </c>
      <c r="H342">
        <v>325049</v>
      </c>
      <c r="I342">
        <v>48</v>
      </c>
      <c r="J342">
        <v>13.43</v>
      </c>
      <c r="K342" t="s">
        <v>44</v>
      </c>
      <c r="L342">
        <v>0</v>
      </c>
      <c r="M342">
        <v>196895.742999182</v>
      </c>
      <c r="N342">
        <v>4101.99</v>
      </c>
      <c r="O342" t="s">
        <v>26</v>
      </c>
      <c r="P342">
        <v>2</v>
      </c>
      <c r="Q342">
        <v>77</v>
      </c>
      <c r="R342" t="s">
        <v>27</v>
      </c>
      <c r="S342">
        <v>1</v>
      </c>
      <c r="T342" t="s">
        <v>28</v>
      </c>
      <c r="U342" t="s">
        <v>29</v>
      </c>
    </row>
    <row r="343" spans="1:21" x14ac:dyDescent="0.25">
      <c r="A343" t="s">
        <v>724</v>
      </c>
      <c r="B343">
        <v>23</v>
      </c>
      <c r="C343" t="s">
        <v>22</v>
      </c>
      <c r="D343" t="s">
        <v>58</v>
      </c>
      <c r="E343">
        <v>179827</v>
      </c>
      <c r="F343">
        <v>0</v>
      </c>
      <c r="G343" t="s">
        <v>725</v>
      </c>
      <c r="H343">
        <v>696047</v>
      </c>
      <c r="I343">
        <v>12</v>
      </c>
      <c r="J343">
        <v>16.38</v>
      </c>
      <c r="K343" t="s">
        <v>25</v>
      </c>
      <c r="L343">
        <v>740869.211298813</v>
      </c>
      <c r="M343">
        <v>139725.254576287</v>
      </c>
      <c r="N343">
        <v>11643.77</v>
      </c>
      <c r="O343" t="s">
        <v>26</v>
      </c>
      <c r="P343">
        <v>1</v>
      </c>
      <c r="Q343">
        <v>21</v>
      </c>
      <c r="R343" t="s">
        <v>34</v>
      </c>
      <c r="S343">
        <v>0</v>
      </c>
      <c r="T343" t="s">
        <v>28</v>
      </c>
      <c r="U343" t="s">
        <v>29</v>
      </c>
    </row>
    <row r="344" spans="1:21" x14ac:dyDescent="0.25">
      <c r="A344" t="s">
        <v>726</v>
      </c>
      <c r="B344">
        <v>60</v>
      </c>
      <c r="C344" t="s">
        <v>22</v>
      </c>
      <c r="D344" t="s">
        <v>23</v>
      </c>
      <c r="E344">
        <v>55390</v>
      </c>
      <c r="F344">
        <v>0</v>
      </c>
      <c r="G344" t="s">
        <v>727</v>
      </c>
      <c r="H344">
        <v>467567</v>
      </c>
      <c r="I344">
        <v>72</v>
      </c>
      <c r="J344">
        <v>15.28</v>
      </c>
      <c r="K344" t="s">
        <v>44</v>
      </c>
      <c r="L344">
        <v>0</v>
      </c>
      <c r="M344">
        <v>303243.056845574</v>
      </c>
      <c r="N344">
        <v>4211.71</v>
      </c>
      <c r="O344" t="s">
        <v>37</v>
      </c>
      <c r="P344">
        <v>0</v>
      </c>
      <c r="Q344">
        <v>0</v>
      </c>
      <c r="R344" t="s">
        <v>27</v>
      </c>
      <c r="S344">
        <v>5</v>
      </c>
      <c r="T344" t="s">
        <v>45</v>
      </c>
      <c r="U344" t="s">
        <v>29</v>
      </c>
    </row>
    <row r="345" spans="1:21" x14ac:dyDescent="0.25">
      <c r="A345" t="s">
        <v>728</v>
      </c>
      <c r="B345">
        <v>44</v>
      </c>
      <c r="C345" t="s">
        <v>31</v>
      </c>
      <c r="D345" t="s">
        <v>49</v>
      </c>
      <c r="E345">
        <v>38711</v>
      </c>
      <c r="F345">
        <v>2</v>
      </c>
      <c r="G345" t="s">
        <v>729</v>
      </c>
      <c r="H345">
        <v>1391701</v>
      </c>
      <c r="I345">
        <v>12</v>
      </c>
      <c r="J345">
        <v>6.83</v>
      </c>
      <c r="K345" t="s">
        <v>25</v>
      </c>
      <c r="L345">
        <v>1994247.1687042599</v>
      </c>
      <c r="M345">
        <v>851148.687346344</v>
      </c>
      <c r="N345">
        <v>70929.06</v>
      </c>
      <c r="O345" t="s">
        <v>26</v>
      </c>
      <c r="P345">
        <v>3</v>
      </c>
      <c r="Q345">
        <v>63</v>
      </c>
      <c r="R345" t="s">
        <v>34</v>
      </c>
      <c r="S345">
        <v>1</v>
      </c>
      <c r="T345" t="s">
        <v>41</v>
      </c>
      <c r="U345" t="s">
        <v>29</v>
      </c>
    </row>
    <row r="346" spans="1:21" x14ac:dyDescent="0.25">
      <c r="A346" t="s">
        <v>730</v>
      </c>
      <c r="B346">
        <v>52</v>
      </c>
      <c r="C346" t="s">
        <v>31</v>
      </c>
      <c r="D346" t="s">
        <v>58</v>
      </c>
      <c r="E346">
        <v>106658</v>
      </c>
      <c r="F346">
        <v>3</v>
      </c>
      <c r="G346" t="s">
        <v>731</v>
      </c>
      <c r="H346">
        <v>1958911</v>
      </c>
      <c r="I346">
        <v>36</v>
      </c>
      <c r="J346">
        <v>12.09</v>
      </c>
      <c r="K346" t="s">
        <v>33</v>
      </c>
      <c r="L346">
        <v>2128379.8795038499</v>
      </c>
      <c r="M346">
        <v>1592190.5785556301</v>
      </c>
      <c r="N346">
        <v>44227.519999999997</v>
      </c>
      <c r="O346" t="s">
        <v>26</v>
      </c>
      <c r="P346">
        <v>0</v>
      </c>
      <c r="Q346">
        <v>0</v>
      </c>
      <c r="R346" t="s">
        <v>34</v>
      </c>
      <c r="S346">
        <v>0</v>
      </c>
      <c r="T346" t="s">
        <v>41</v>
      </c>
      <c r="U346" t="s">
        <v>29</v>
      </c>
    </row>
    <row r="347" spans="1:21" x14ac:dyDescent="0.25">
      <c r="A347" t="s">
        <v>732</v>
      </c>
      <c r="B347">
        <v>42</v>
      </c>
      <c r="C347" t="s">
        <v>22</v>
      </c>
      <c r="D347" t="s">
        <v>49</v>
      </c>
      <c r="E347">
        <v>72993</v>
      </c>
      <c r="F347">
        <v>0</v>
      </c>
      <c r="G347" t="s">
        <v>733</v>
      </c>
      <c r="H347">
        <v>1955829</v>
      </c>
      <c r="I347">
        <v>48</v>
      </c>
      <c r="J347">
        <v>6.37</v>
      </c>
      <c r="K347" t="s">
        <v>25</v>
      </c>
      <c r="L347">
        <v>2006841.94591379</v>
      </c>
      <c r="M347">
        <v>1932395.9202671801</v>
      </c>
      <c r="N347">
        <v>40258.25</v>
      </c>
      <c r="O347" t="s">
        <v>26</v>
      </c>
      <c r="P347">
        <v>3</v>
      </c>
      <c r="Q347">
        <v>30</v>
      </c>
      <c r="R347" t="s">
        <v>34</v>
      </c>
      <c r="S347">
        <v>1</v>
      </c>
      <c r="T347" t="s">
        <v>38</v>
      </c>
      <c r="U347" t="s">
        <v>29</v>
      </c>
    </row>
    <row r="348" spans="1:21" x14ac:dyDescent="0.25">
      <c r="A348" t="s">
        <v>734</v>
      </c>
      <c r="B348">
        <v>43</v>
      </c>
      <c r="C348" t="s">
        <v>31</v>
      </c>
      <c r="D348" t="s">
        <v>58</v>
      </c>
      <c r="E348">
        <v>220768</v>
      </c>
      <c r="F348">
        <v>0</v>
      </c>
      <c r="G348" t="s">
        <v>735</v>
      </c>
      <c r="H348">
        <v>1469920</v>
      </c>
      <c r="I348">
        <v>72</v>
      </c>
      <c r="J348">
        <v>5.59</v>
      </c>
      <c r="K348" t="s">
        <v>44</v>
      </c>
      <c r="L348">
        <v>0</v>
      </c>
      <c r="M348">
        <v>478879.54019045102</v>
      </c>
      <c r="N348">
        <v>6651.1</v>
      </c>
      <c r="O348" t="s">
        <v>26</v>
      </c>
      <c r="P348">
        <v>1</v>
      </c>
      <c r="Q348">
        <v>142</v>
      </c>
      <c r="R348" t="s">
        <v>34</v>
      </c>
      <c r="S348">
        <v>2</v>
      </c>
      <c r="T348" t="s">
        <v>41</v>
      </c>
      <c r="U348" t="s">
        <v>29</v>
      </c>
    </row>
    <row r="349" spans="1:21" x14ac:dyDescent="0.25">
      <c r="A349" t="s">
        <v>736</v>
      </c>
      <c r="B349">
        <v>22</v>
      </c>
      <c r="C349" t="s">
        <v>31</v>
      </c>
      <c r="D349" t="s">
        <v>49</v>
      </c>
      <c r="E349">
        <v>173285</v>
      </c>
      <c r="F349">
        <v>1</v>
      </c>
      <c r="G349" t="s">
        <v>737</v>
      </c>
      <c r="H349">
        <v>132289</v>
      </c>
      <c r="I349">
        <v>24</v>
      </c>
      <c r="J349">
        <v>13.53</v>
      </c>
      <c r="K349" t="s">
        <v>44</v>
      </c>
      <c r="L349">
        <v>0</v>
      </c>
      <c r="M349">
        <v>73908.647998340806</v>
      </c>
      <c r="N349">
        <v>3079.53</v>
      </c>
      <c r="O349" t="s">
        <v>26</v>
      </c>
      <c r="P349">
        <v>1</v>
      </c>
      <c r="Q349">
        <v>106</v>
      </c>
      <c r="R349" t="s">
        <v>34</v>
      </c>
      <c r="S349">
        <v>2</v>
      </c>
      <c r="T349" t="s">
        <v>38</v>
      </c>
      <c r="U349" t="s">
        <v>29</v>
      </c>
    </row>
    <row r="350" spans="1:21" x14ac:dyDescent="0.25">
      <c r="A350" t="s">
        <v>738</v>
      </c>
      <c r="B350">
        <v>47</v>
      </c>
      <c r="C350" t="s">
        <v>31</v>
      </c>
      <c r="D350" t="s">
        <v>23</v>
      </c>
      <c r="E350">
        <v>203856</v>
      </c>
      <c r="F350">
        <v>3</v>
      </c>
      <c r="G350" t="s">
        <v>739</v>
      </c>
      <c r="H350">
        <v>690794</v>
      </c>
      <c r="I350">
        <v>24</v>
      </c>
      <c r="J350">
        <v>11.96</v>
      </c>
      <c r="K350" t="s">
        <v>44</v>
      </c>
      <c r="L350">
        <v>0</v>
      </c>
      <c r="M350">
        <v>634134.29254345701</v>
      </c>
      <c r="N350">
        <v>26422.26</v>
      </c>
      <c r="O350" t="s">
        <v>26</v>
      </c>
      <c r="P350">
        <v>3</v>
      </c>
      <c r="Q350">
        <v>155</v>
      </c>
      <c r="R350" t="s">
        <v>27</v>
      </c>
      <c r="S350">
        <v>6</v>
      </c>
      <c r="T350" t="s">
        <v>28</v>
      </c>
      <c r="U350" t="s">
        <v>29</v>
      </c>
    </row>
    <row r="351" spans="1:21" x14ac:dyDescent="0.25">
      <c r="A351" t="s">
        <v>740</v>
      </c>
      <c r="B351">
        <v>62</v>
      </c>
      <c r="C351" t="s">
        <v>31</v>
      </c>
      <c r="D351" t="s">
        <v>23</v>
      </c>
      <c r="E351">
        <v>22421</v>
      </c>
      <c r="F351">
        <v>0</v>
      </c>
      <c r="G351" t="s">
        <v>741</v>
      </c>
      <c r="H351">
        <v>1701377</v>
      </c>
      <c r="I351">
        <v>12</v>
      </c>
      <c r="J351">
        <v>6.07</v>
      </c>
      <c r="K351" t="s">
        <v>44</v>
      </c>
      <c r="L351">
        <v>0</v>
      </c>
      <c r="M351">
        <v>1372451.3089907099</v>
      </c>
      <c r="N351">
        <v>114370.94</v>
      </c>
      <c r="O351" t="s">
        <v>37</v>
      </c>
      <c r="P351">
        <v>2</v>
      </c>
      <c r="Q351">
        <v>152</v>
      </c>
      <c r="R351" t="s">
        <v>27</v>
      </c>
      <c r="S351">
        <v>9</v>
      </c>
      <c r="T351" t="s">
        <v>28</v>
      </c>
      <c r="U351" t="s">
        <v>29</v>
      </c>
    </row>
    <row r="352" spans="1:21" x14ac:dyDescent="0.25">
      <c r="A352" t="s">
        <v>742</v>
      </c>
      <c r="B352">
        <v>22</v>
      </c>
      <c r="C352" t="s">
        <v>31</v>
      </c>
      <c r="D352" t="s">
        <v>23</v>
      </c>
      <c r="E352">
        <v>233008</v>
      </c>
      <c r="F352">
        <v>1</v>
      </c>
      <c r="G352" t="s">
        <v>743</v>
      </c>
      <c r="H352">
        <v>1511666</v>
      </c>
      <c r="I352">
        <v>24</v>
      </c>
      <c r="J352">
        <v>5.45</v>
      </c>
      <c r="K352" t="s">
        <v>44</v>
      </c>
      <c r="L352">
        <v>0</v>
      </c>
      <c r="M352">
        <v>814282.58292486705</v>
      </c>
      <c r="N352">
        <v>33928.44</v>
      </c>
      <c r="O352" t="s">
        <v>68</v>
      </c>
      <c r="P352">
        <v>4</v>
      </c>
      <c r="Q352">
        <v>158</v>
      </c>
      <c r="R352" t="s">
        <v>27</v>
      </c>
      <c r="S352">
        <v>8</v>
      </c>
      <c r="T352" t="s">
        <v>41</v>
      </c>
      <c r="U352" t="s">
        <v>29</v>
      </c>
    </row>
    <row r="353" spans="1:21" x14ac:dyDescent="0.25">
      <c r="A353" t="s">
        <v>744</v>
      </c>
      <c r="B353">
        <v>46</v>
      </c>
      <c r="C353" t="s">
        <v>22</v>
      </c>
      <c r="D353" t="s">
        <v>49</v>
      </c>
      <c r="E353">
        <v>245145</v>
      </c>
      <c r="F353">
        <v>3</v>
      </c>
      <c r="G353" t="s">
        <v>745</v>
      </c>
      <c r="H353">
        <v>1804867</v>
      </c>
      <c r="I353">
        <v>24</v>
      </c>
      <c r="J353">
        <v>17.87</v>
      </c>
      <c r="K353" t="s">
        <v>33</v>
      </c>
      <c r="L353">
        <v>2272888.6052023899</v>
      </c>
      <c r="M353">
        <v>1716129.7838127499</v>
      </c>
      <c r="N353">
        <v>71505.41</v>
      </c>
      <c r="O353" t="s">
        <v>26</v>
      </c>
      <c r="P353">
        <v>1</v>
      </c>
      <c r="Q353">
        <v>57</v>
      </c>
      <c r="R353" t="s">
        <v>34</v>
      </c>
      <c r="S353">
        <v>2</v>
      </c>
      <c r="T353" t="s">
        <v>28</v>
      </c>
      <c r="U353" t="s">
        <v>29</v>
      </c>
    </row>
    <row r="354" spans="1:21" x14ac:dyDescent="0.25">
      <c r="A354" t="s">
        <v>746</v>
      </c>
      <c r="B354">
        <v>37</v>
      </c>
      <c r="C354" t="s">
        <v>22</v>
      </c>
      <c r="D354" t="s">
        <v>49</v>
      </c>
      <c r="E354">
        <v>32727</v>
      </c>
      <c r="F354">
        <v>2</v>
      </c>
      <c r="G354" t="s">
        <v>747</v>
      </c>
      <c r="H354">
        <v>1499466</v>
      </c>
      <c r="I354">
        <v>48</v>
      </c>
      <c r="J354">
        <v>5.39</v>
      </c>
      <c r="K354" t="s">
        <v>44</v>
      </c>
      <c r="L354">
        <v>0</v>
      </c>
      <c r="M354">
        <v>227188.62829278901</v>
      </c>
      <c r="N354">
        <v>4733.1000000000004</v>
      </c>
      <c r="O354" t="s">
        <v>26</v>
      </c>
      <c r="P354">
        <v>1</v>
      </c>
      <c r="Q354">
        <v>133</v>
      </c>
      <c r="R354" t="s">
        <v>27</v>
      </c>
      <c r="S354">
        <v>7</v>
      </c>
      <c r="T354" t="s">
        <v>45</v>
      </c>
      <c r="U354" t="s">
        <v>29</v>
      </c>
    </row>
    <row r="355" spans="1:21" x14ac:dyDescent="0.25">
      <c r="A355" t="s">
        <v>748</v>
      </c>
      <c r="B355">
        <v>60</v>
      </c>
      <c r="C355" t="s">
        <v>31</v>
      </c>
      <c r="D355" t="s">
        <v>23</v>
      </c>
      <c r="E355">
        <v>127418</v>
      </c>
      <c r="F355">
        <v>2</v>
      </c>
      <c r="G355" t="s">
        <v>749</v>
      </c>
      <c r="H355">
        <v>1411236</v>
      </c>
      <c r="I355">
        <v>24</v>
      </c>
      <c r="J355">
        <v>10.78</v>
      </c>
      <c r="K355" t="s">
        <v>25</v>
      </c>
      <c r="L355">
        <v>1711357.3774761001</v>
      </c>
      <c r="M355">
        <v>1323596.49127984</v>
      </c>
      <c r="N355">
        <v>55149.85</v>
      </c>
      <c r="O355" t="s">
        <v>26</v>
      </c>
      <c r="P355">
        <v>0</v>
      </c>
      <c r="Q355">
        <v>0</v>
      </c>
      <c r="R355" t="s">
        <v>34</v>
      </c>
      <c r="S355">
        <v>3</v>
      </c>
      <c r="T355" t="s">
        <v>45</v>
      </c>
      <c r="U355" t="s">
        <v>29</v>
      </c>
    </row>
    <row r="356" spans="1:21" x14ac:dyDescent="0.25">
      <c r="A356" t="s">
        <v>750</v>
      </c>
      <c r="B356">
        <v>53</v>
      </c>
      <c r="C356" t="s">
        <v>31</v>
      </c>
      <c r="D356" t="s">
        <v>49</v>
      </c>
      <c r="E356">
        <v>19358</v>
      </c>
      <c r="F356">
        <v>1</v>
      </c>
      <c r="G356" t="s">
        <v>751</v>
      </c>
      <c r="H356">
        <v>309480</v>
      </c>
      <c r="I356">
        <v>12</v>
      </c>
      <c r="J356">
        <v>11.56</v>
      </c>
      <c r="K356" t="s">
        <v>25</v>
      </c>
      <c r="L356">
        <v>214519.15940224199</v>
      </c>
      <c r="M356">
        <v>45015.925015167901</v>
      </c>
      <c r="N356">
        <v>3751.33</v>
      </c>
      <c r="O356" t="s">
        <v>26</v>
      </c>
      <c r="P356">
        <v>1</v>
      </c>
      <c r="Q356">
        <v>97</v>
      </c>
      <c r="R356" t="s">
        <v>34</v>
      </c>
      <c r="S356">
        <v>0</v>
      </c>
      <c r="T356" t="s">
        <v>41</v>
      </c>
      <c r="U356" t="s">
        <v>29</v>
      </c>
    </row>
    <row r="357" spans="1:21" x14ac:dyDescent="0.25">
      <c r="A357" t="s">
        <v>752</v>
      </c>
      <c r="B357">
        <v>29</v>
      </c>
      <c r="C357" t="s">
        <v>22</v>
      </c>
      <c r="D357" t="s">
        <v>49</v>
      </c>
      <c r="E357">
        <v>80108</v>
      </c>
      <c r="F357">
        <v>2</v>
      </c>
      <c r="G357" t="s">
        <v>753</v>
      </c>
      <c r="H357">
        <v>1884907</v>
      </c>
      <c r="I357">
        <v>60</v>
      </c>
      <c r="J357">
        <v>6.52</v>
      </c>
      <c r="K357" t="s">
        <v>25</v>
      </c>
      <c r="L357">
        <v>1830825.7659026801</v>
      </c>
      <c r="M357">
        <v>1116947.3889834799</v>
      </c>
      <c r="N357">
        <v>18615.79</v>
      </c>
      <c r="O357" t="s">
        <v>37</v>
      </c>
      <c r="P357">
        <v>3</v>
      </c>
      <c r="Q357">
        <v>115</v>
      </c>
      <c r="R357" t="s">
        <v>34</v>
      </c>
      <c r="S357">
        <v>0</v>
      </c>
      <c r="T357" t="s">
        <v>41</v>
      </c>
      <c r="U357" t="s">
        <v>29</v>
      </c>
    </row>
    <row r="358" spans="1:21" x14ac:dyDescent="0.25">
      <c r="A358" t="s">
        <v>754</v>
      </c>
      <c r="B358">
        <v>63</v>
      </c>
      <c r="C358" t="s">
        <v>22</v>
      </c>
      <c r="D358" t="s">
        <v>23</v>
      </c>
      <c r="E358">
        <v>109018</v>
      </c>
      <c r="F358">
        <v>0</v>
      </c>
      <c r="G358" t="s">
        <v>755</v>
      </c>
      <c r="H358">
        <v>1814622</v>
      </c>
      <c r="I358">
        <v>36</v>
      </c>
      <c r="J358">
        <v>7.2</v>
      </c>
      <c r="K358" t="s">
        <v>44</v>
      </c>
      <c r="L358">
        <v>0</v>
      </c>
      <c r="M358">
        <v>1635694.5605492599</v>
      </c>
      <c r="N358">
        <v>45435.96</v>
      </c>
      <c r="O358" t="s">
        <v>37</v>
      </c>
      <c r="P358">
        <v>2</v>
      </c>
      <c r="Q358">
        <v>113</v>
      </c>
      <c r="R358" t="s">
        <v>34</v>
      </c>
      <c r="S358">
        <v>1</v>
      </c>
      <c r="T358" t="s">
        <v>38</v>
      </c>
      <c r="U358" t="s">
        <v>29</v>
      </c>
    </row>
    <row r="359" spans="1:21" x14ac:dyDescent="0.25">
      <c r="A359" t="s">
        <v>756</v>
      </c>
      <c r="B359">
        <v>59</v>
      </c>
      <c r="C359" t="s">
        <v>31</v>
      </c>
      <c r="D359" t="s">
        <v>23</v>
      </c>
      <c r="E359">
        <v>139457</v>
      </c>
      <c r="F359">
        <v>3</v>
      </c>
      <c r="G359" t="s">
        <v>757</v>
      </c>
      <c r="H359">
        <v>1586643</v>
      </c>
      <c r="I359">
        <v>36</v>
      </c>
      <c r="J359">
        <v>9.57</v>
      </c>
      <c r="K359" t="s">
        <v>33</v>
      </c>
      <c r="L359">
        <v>1543034.8197416</v>
      </c>
      <c r="M359">
        <v>533824.21144944301</v>
      </c>
      <c r="N359">
        <v>14828.45</v>
      </c>
      <c r="O359" t="s">
        <v>37</v>
      </c>
      <c r="P359">
        <v>2</v>
      </c>
      <c r="Q359">
        <v>76</v>
      </c>
      <c r="R359" t="s">
        <v>34</v>
      </c>
      <c r="S359">
        <v>3</v>
      </c>
      <c r="T359" t="s">
        <v>28</v>
      </c>
      <c r="U359" t="s">
        <v>29</v>
      </c>
    </row>
    <row r="360" spans="1:21" x14ac:dyDescent="0.25">
      <c r="A360" t="s">
        <v>758</v>
      </c>
      <c r="B360">
        <v>49</v>
      </c>
      <c r="C360" t="s">
        <v>22</v>
      </c>
      <c r="D360" t="s">
        <v>23</v>
      </c>
      <c r="E360">
        <v>178189</v>
      </c>
      <c r="F360">
        <v>0</v>
      </c>
      <c r="G360" t="s">
        <v>759</v>
      </c>
      <c r="H360">
        <v>1429932</v>
      </c>
      <c r="I360">
        <v>36</v>
      </c>
      <c r="J360">
        <v>14.9</v>
      </c>
      <c r="K360" t="s">
        <v>44</v>
      </c>
      <c r="L360">
        <v>0</v>
      </c>
      <c r="M360">
        <v>750748.11653428397</v>
      </c>
      <c r="N360">
        <v>20854.11</v>
      </c>
      <c r="O360" t="s">
        <v>26</v>
      </c>
      <c r="P360">
        <v>0</v>
      </c>
      <c r="Q360">
        <v>0</v>
      </c>
      <c r="R360" t="s">
        <v>34</v>
      </c>
      <c r="S360">
        <v>3</v>
      </c>
      <c r="T360" t="s">
        <v>38</v>
      </c>
      <c r="U360" t="s">
        <v>29</v>
      </c>
    </row>
    <row r="361" spans="1:21" x14ac:dyDescent="0.25">
      <c r="A361" t="s">
        <v>760</v>
      </c>
      <c r="B361">
        <v>62</v>
      </c>
      <c r="C361" t="s">
        <v>31</v>
      </c>
      <c r="D361" t="s">
        <v>23</v>
      </c>
      <c r="E361">
        <v>234772</v>
      </c>
      <c r="F361">
        <v>0</v>
      </c>
      <c r="G361" t="s">
        <v>761</v>
      </c>
      <c r="H361">
        <v>183498</v>
      </c>
      <c r="I361">
        <v>72</v>
      </c>
      <c r="J361">
        <v>11.59</v>
      </c>
      <c r="K361" t="s">
        <v>33</v>
      </c>
      <c r="L361">
        <v>161152.44209812299</v>
      </c>
      <c r="M361">
        <v>71912.130597487601</v>
      </c>
      <c r="N361">
        <v>998.78</v>
      </c>
      <c r="O361" t="s">
        <v>26</v>
      </c>
      <c r="P361">
        <v>2</v>
      </c>
      <c r="Q361">
        <v>150</v>
      </c>
      <c r="R361" t="s">
        <v>27</v>
      </c>
      <c r="S361">
        <v>3</v>
      </c>
      <c r="T361" t="s">
        <v>38</v>
      </c>
      <c r="U361" t="s">
        <v>29</v>
      </c>
    </row>
    <row r="362" spans="1:21" x14ac:dyDescent="0.25">
      <c r="A362" t="s">
        <v>762</v>
      </c>
      <c r="B362">
        <v>46</v>
      </c>
      <c r="C362" t="s">
        <v>31</v>
      </c>
      <c r="D362" t="s">
        <v>23</v>
      </c>
      <c r="E362">
        <v>46910</v>
      </c>
      <c r="F362">
        <v>2</v>
      </c>
      <c r="G362" t="s">
        <v>763</v>
      </c>
      <c r="H362">
        <v>1352600</v>
      </c>
      <c r="I362">
        <v>24</v>
      </c>
      <c r="J362">
        <v>13.29</v>
      </c>
      <c r="K362" t="s">
        <v>33</v>
      </c>
      <c r="L362">
        <v>1375991.16395914</v>
      </c>
      <c r="M362">
        <v>1294342.87601373</v>
      </c>
      <c r="N362">
        <v>53930.95</v>
      </c>
      <c r="O362" t="s">
        <v>26</v>
      </c>
      <c r="P362">
        <v>2</v>
      </c>
      <c r="Q362">
        <v>109</v>
      </c>
      <c r="R362" t="s">
        <v>27</v>
      </c>
      <c r="S362">
        <v>6</v>
      </c>
      <c r="T362" t="s">
        <v>45</v>
      </c>
      <c r="U362" t="s">
        <v>29</v>
      </c>
    </row>
    <row r="363" spans="1:21" x14ac:dyDescent="0.25">
      <c r="A363" t="s">
        <v>764</v>
      </c>
      <c r="B363">
        <v>55</v>
      </c>
      <c r="C363" t="s">
        <v>31</v>
      </c>
      <c r="D363" t="s">
        <v>23</v>
      </c>
      <c r="E363">
        <v>141888</v>
      </c>
      <c r="F363">
        <v>0</v>
      </c>
      <c r="G363" t="s">
        <v>765</v>
      </c>
      <c r="H363">
        <v>1753834</v>
      </c>
      <c r="I363">
        <v>72</v>
      </c>
      <c r="J363">
        <v>17.809999999999999</v>
      </c>
      <c r="K363" t="s">
        <v>33</v>
      </c>
      <c r="L363">
        <v>1601438.79978539</v>
      </c>
      <c r="M363">
        <v>1475467.2832253701</v>
      </c>
      <c r="N363">
        <v>20492.599999999999</v>
      </c>
      <c r="O363" t="s">
        <v>26</v>
      </c>
      <c r="P363">
        <v>3</v>
      </c>
      <c r="Q363">
        <v>78</v>
      </c>
      <c r="R363" t="s">
        <v>34</v>
      </c>
      <c r="S363">
        <v>2</v>
      </c>
      <c r="T363" t="s">
        <v>45</v>
      </c>
      <c r="U363" t="s">
        <v>29</v>
      </c>
    </row>
    <row r="364" spans="1:21" x14ac:dyDescent="0.25">
      <c r="A364" t="s">
        <v>766</v>
      </c>
      <c r="B364">
        <v>45</v>
      </c>
      <c r="C364" t="s">
        <v>22</v>
      </c>
      <c r="D364" t="s">
        <v>23</v>
      </c>
      <c r="E364">
        <v>244104</v>
      </c>
      <c r="F364">
        <v>2</v>
      </c>
      <c r="G364" t="s">
        <v>767</v>
      </c>
      <c r="H364">
        <v>1188585</v>
      </c>
      <c r="I364">
        <v>60</v>
      </c>
      <c r="J364">
        <v>14.98</v>
      </c>
      <c r="K364" t="s">
        <v>25</v>
      </c>
      <c r="L364">
        <v>831231.55860310595</v>
      </c>
      <c r="M364">
        <v>877296.20520587801</v>
      </c>
      <c r="N364">
        <v>14621.6</v>
      </c>
      <c r="O364" t="s">
        <v>37</v>
      </c>
      <c r="P364">
        <v>2</v>
      </c>
      <c r="Q364">
        <v>145</v>
      </c>
      <c r="R364" t="s">
        <v>34</v>
      </c>
      <c r="S364">
        <v>3</v>
      </c>
      <c r="T364" t="s">
        <v>45</v>
      </c>
      <c r="U364" t="s">
        <v>29</v>
      </c>
    </row>
    <row r="365" spans="1:21" x14ac:dyDescent="0.25">
      <c r="A365" t="s">
        <v>768</v>
      </c>
      <c r="B365">
        <v>44</v>
      </c>
      <c r="C365" t="s">
        <v>22</v>
      </c>
      <c r="D365" t="s">
        <v>23</v>
      </c>
      <c r="E365">
        <v>70754</v>
      </c>
      <c r="F365">
        <v>3</v>
      </c>
      <c r="G365" t="s">
        <v>769</v>
      </c>
      <c r="H365">
        <v>773858</v>
      </c>
      <c r="I365">
        <v>12</v>
      </c>
      <c r="J365">
        <v>10.65</v>
      </c>
      <c r="K365" t="s">
        <v>44</v>
      </c>
      <c r="L365">
        <v>0</v>
      </c>
      <c r="M365">
        <v>486651.66014719498</v>
      </c>
      <c r="N365">
        <v>40554.31</v>
      </c>
      <c r="O365" t="s">
        <v>68</v>
      </c>
      <c r="P365">
        <v>0</v>
      </c>
      <c r="Q365">
        <v>0</v>
      </c>
      <c r="R365" t="s">
        <v>34</v>
      </c>
      <c r="S365">
        <v>3</v>
      </c>
      <c r="T365" t="s">
        <v>45</v>
      </c>
      <c r="U365" t="s">
        <v>29</v>
      </c>
    </row>
    <row r="366" spans="1:21" x14ac:dyDescent="0.25">
      <c r="A366" t="s">
        <v>770</v>
      </c>
      <c r="B366">
        <v>33</v>
      </c>
      <c r="C366" t="s">
        <v>22</v>
      </c>
      <c r="D366" t="s">
        <v>23</v>
      </c>
      <c r="E366">
        <v>208510</v>
      </c>
      <c r="F366">
        <v>3</v>
      </c>
      <c r="G366" t="s">
        <v>771</v>
      </c>
      <c r="H366">
        <v>473159</v>
      </c>
      <c r="I366">
        <v>72</v>
      </c>
      <c r="J366">
        <v>10.8</v>
      </c>
      <c r="K366" t="s">
        <v>44</v>
      </c>
      <c r="L366">
        <v>0</v>
      </c>
      <c r="M366">
        <v>396759.25140034198</v>
      </c>
      <c r="N366">
        <v>5510.55</v>
      </c>
      <c r="O366" t="s">
        <v>26</v>
      </c>
      <c r="P366">
        <v>0</v>
      </c>
      <c r="Q366">
        <v>0</v>
      </c>
      <c r="R366" t="s">
        <v>34</v>
      </c>
      <c r="S366">
        <v>3</v>
      </c>
      <c r="T366" t="s">
        <v>38</v>
      </c>
      <c r="U366" t="s">
        <v>29</v>
      </c>
    </row>
    <row r="367" spans="1:21" x14ac:dyDescent="0.25">
      <c r="A367" t="s">
        <v>772</v>
      </c>
      <c r="B367">
        <v>27</v>
      </c>
      <c r="C367" t="s">
        <v>22</v>
      </c>
      <c r="D367" t="s">
        <v>23</v>
      </c>
      <c r="E367">
        <v>124847</v>
      </c>
      <c r="F367">
        <v>0</v>
      </c>
      <c r="G367" t="s">
        <v>773</v>
      </c>
      <c r="H367">
        <v>771755</v>
      </c>
      <c r="I367">
        <v>36</v>
      </c>
      <c r="J367">
        <v>13.04</v>
      </c>
      <c r="K367" t="s">
        <v>25</v>
      </c>
      <c r="L367">
        <v>704123.39838667098</v>
      </c>
      <c r="M367">
        <v>349636.14556790498</v>
      </c>
      <c r="N367">
        <v>9712.1200000000008</v>
      </c>
      <c r="O367" t="s">
        <v>37</v>
      </c>
      <c r="P367">
        <v>2</v>
      </c>
      <c r="Q367">
        <v>158</v>
      </c>
      <c r="R367" t="s">
        <v>27</v>
      </c>
      <c r="S367">
        <v>1</v>
      </c>
      <c r="T367" t="s">
        <v>45</v>
      </c>
      <c r="U367" t="s">
        <v>29</v>
      </c>
    </row>
    <row r="368" spans="1:21" x14ac:dyDescent="0.25">
      <c r="A368" t="s">
        <v>774</v>
      </c>
      <c r="B368">
        <v>56</v>
      </c>
      <c r="C368" t="s">
        <v>22</v>
      </c>
      <c r="D368" t="s">
        <v>49</v>
      </c>
      <c r="E368">
        <v>175443</v>
      </c>
      <c r="F368">
        <v>1</v>
      </c>
      <c r="G368" t="s">
        <v>775</v>
      </c>
      <c r="H368">
        <v>94816</v>
      </c>
      <c r="I368">
        <v>12</v>
      </c>
      <c r="J368">
        <v>13.65</v>
      </c>
      <c r="K368" t="s">
        <v>44</v>
      </c>
      <c r="L368">
        <v>0</v>
      </c>
      <c r="M368">
        <v>47673.169024362702</v>
      </c>
      <c r="N368">
        <v>3972.76</v>
      </c>
      <c r="O368" t="s">
        <v>26</v>
      </c>
      <c r="P368">
        <v>1</v>
      </c>
      <c r="Q368">
        <v>15</v>
      </c>
      <c r="R368" t="s">
        <v>34</v>
      </c>
      <c r="S368">
        <v>2</v>
      </c>
      <c r="T368" t="s">
        <v>28</v>
      </c>
      <c r="U368" t="s">
        <v>29</v>
      </c>
    </row>
    <row r="369" spans="1:21" x14ac:dyDescent="0.25">
      <c r="A369" t="s">
        <v>776</v>
      </c>
      <c r="B369">
        <v>40</v>
      </c>
      <c r="C369" t="s">
        <v>22</v>
      </c>
      <c r="D369" t="s">
        <v>23</v>
      </c>
      <c r="E369">
        <v>197573</v>
      </c>
      <c r="F369">
        <v>2</v>
      </c>
      <c r="G369" t="s">
        <v>777</v>
      </c>
      <c r="H369">
        <v>54138</v>
      </c>
      <c r="I369">
        <v>60</v>
      </c>
      <c r="J369">
        <v>11.51</v>
      </c>
      <c r="K369" t="s">
        <v>33</v>
      </c>
      <c r="L369">
        <v>30981.929387716598</v>
      </c>
      <c r="M369">
        <v>40982.549858288097</v>
      </c>
      <c r="N369">
        <v>683.04</v>
      </c>
      <c r="O369" t="s">
        <v>26</v>
      </c>
      <c r="P369">
        <v>2</v>
      </c>
      <c r="Q369">
        <v>156</v>
      </c>
      <c r="R369" t="s">
        <v>27</v>
      </c>
      <c r="S369">
        <v>6</v>
      </c>
      <c r="T369" t="s">
        <v>45</v>
      </c>
      <c r="U369" t="s">
        <v>29</v>
      </c>
    </row>
    <row r="370" spans="1:21" x14ac:dyDescent="0.25">
      <c r="A370" t="s">
        <v>778</v>
      </c>
      <c r="B370">
        <v>21</v>
      </c>
      <c r="C370" t="s">
        <v>22</v>
      </c>
      <c r="D370" t="s">
        <v>58</v>
      </c>
      <c r="E370">
        <v>207018</v>
      </c>
      <c r="F370">
        <v>2</v>
      </c>
      <c r="G370" t="s">
        <v>779</v>
      </c>
      <c r="H370">
        <v>1189752</v>
      </c>
      <c r="I370">
        <v>60</v>
      </c>
      <c r="J370">
        <v>13.38</v>
      </c>
      <c r="K370" t="s">
        <v>44</v>
      </c>
      <c r="L370">
        <v>0</v>
      </c>
      <c r="M370">
        <v>502050.70062440098</v>
      </c>
      <c r="N370">
        <v>8367.51</v>
      </c>
      <c r="O370" t="s">
        <v>26</v>
      </c>
      <c r="P370">
        <v>0</v>
      </c>
      <c r="Q370">
        <v>0</v>
      </c>
      <c r="R370" t="s">
        <v>27</v>
      </c>
      <c r="S370">
        <v>5</v>
      </c>
      <c r="T370" t="s">
        <v>45</v>
      </c>
      <c r="U370" t="s">
        <v>29</v>
      </c>
    </row>
    <row r="371" spans="1:21" x14ac:dyDescent="0.25">
      <c r="A371" t="s">
        <v>780</v>
      </c>
      <c r="B371">
        <v>28</v>
      </c>
      <c r="C371" t="s">
        <v>22</v>
      </c>
      <c r="D371" t="s">
        <v>58</v>
      </c>
      <c r="E371">
        <v>53467</v>
      </c>
      <c r="F371">
        <v>0</v>
      </c>
      <c r="G371" t="s">
        <v>781</v>
      </c>
      <c r="H371">
        <v>1436665</v>
      </c>
      <c r="I371">
        <v>48</v>
      </c>
      <c r="J371">
        <v>5.31</v>
      </c>
      <c r="K371" t="s">
        <v>44</v>
      </c>
      <c r="L371">
        <v>0</v>
      </c>
      <c r="M371">
        <v>226290.322217134</v>
      </c>
      <c r="N371">
        <v>4714.38</v>
      </c>
      <c r="O371" t="s">
        <v>26</v>
      </c>
      <c r="P371">
        <v>0</v>
      </c>
      <c r="Q371">
        <v>0</v>
      </c>
      <c r="R371" t="s">
        <v>34</v>
      </c>
      <c r="S371">
        <v>2</v>
      </c>
      <c r="T371" t="s">
        <v>45</v>
      </c>
      <c r="U371" t="s">
        <v>29</v>
      </c>
    </row>
    <row r="372" spans="1:21" x14ac:dyDescent="0.25">
      <c r="A372" t="s">
        <v>782</v>
      </c>
      <c r="B372">
        <v>36</v>
      </c>
      <c r="C372" t="s">
        <v>22</v>
      </c>
      <c r="D372" t="s">
        <v>23</v>
      </c>
      <c r="E372">
        <v>163697</v>
      </c>
      <c r="F372">
        <v>2</v>
      </c>
      <c r="G372" t="s">
        <v>783</v>
      </c>
      <c r="H372">
        <v>840449</v>
      </c>
      <c r="I372">
        <v>24</v>
      </c>
      <c r="J372">
        <v>10.59</v>
      </c>
      <c r="K372" t="s">
        <v>44</v>
      </c>
      <c r="L372">
        <v>0</v>
      </c>
      <c r="M372">
        <v>140271.90293332099</v>
      </c>
      <c r="N372">
        <v>5844.66</v>
      </c>
      <c r="O372" t="s">
        <v>26</v>
      </c>
      <c r="P372">
        <v>3</v>
      </c>
      <c r="Q372">
        <v>25</v>
      </c>
      <c r="R372" t="s">
        <v>65</v>
      </c>
      <c r="S372">
        <v>5</v>
      </c>
      <c r="T372" t="s">
        <v>41</v>
      </c>
      <c r="U372" t="s">
        <v>79</v>
      </c>
    </row>
    <row r="373" spans="1:21" x14ac:dyDescent="0.25">
      <c r="A373" t="s">
        <v>784</v>
      </c>
      <c r="B373">
        <v>34</v>
      </c>
      <c r="C373" t="s">
        <v>22</v>
      </c>
      <c r="D373" t="s">
        <v>23</v>
      </c>
      <c r="E373">
        <v>48893</v>
      </c>
      <c r="F373">
        <v>2</v>
      </c>
      <c r="G373" t="s">
        <v>785</v>
      </c>
      <c r="H373">
        <v>846883</v>
      </c>
      <c r="I373">
        <v>48</v>
      </c>
      <c r="J373">
        <v>8.6300000000000008</v>
      </c>
      <c r="K373" t="s">
        <v>44</v>
      </c>
      <c r="L373">
        <v>0</v>
      </c>
      <c r="M373">
        <v>172617.21573236099</v>
      </c>
      <c r="N373">
        <v>3596.19</v>
      </c>
      <c r="O373" t="s">
        <v>37</v>
      </c>
      <c r="P373">
        <v>2</v>
      </c>
      <c r="Q373">
        <v>53</v>
      </c>
      <c r="R373" t="s">
        <v>34</v>
      </c>
      <c r="S373">
        <v>1</v>
      </c>
      <c r="T373" t="s">
        <v>28</v>
      </c>
      <c r="U373" t="s">
        <v>29</v>
      </c>
    </row>
    <row r="374" spans="1:21" x14ac:dyDescent="0.25">
      <c r="A374" t="s">
        <v>786</v>
      </c>
      <c r="B374">
        <v>32</v>
      </c>
      <c r="C374" t="s">
        <v>22</v>
      </c>
      <c r="D374" t="s">
        <v>23</v>
      </c>
      <c r="E374">
        <v>91329</v>
      </c>
      <c r="F374">
        <v>1</v>
      </c>
      <c r="G374" t="s">
        <v>787</v>
      </c>
      <c r="H374">
        <v>1816892</v>
      </c>
      <c r="I374">
        <v>60</v>
      </c>
      <c r="J374">
        <v>6.68</v>
      </c>
      <c r="K374" t="s">
        <v>25</v>
      </c>
      <c r="L374">
        <v>1954586.7277879301</v>
      </c>
      <c r="M374">
        <v>1603794.5350392601</v>
      </c>
      <c r="N374">
        <v>26729.91</v>
      </c>
      <c r="O374" t="s">
        <v>37</v>
      </c>
      <c r="P374">
        <v>2</v>
      </c>
      <c r="Q374">
        <v>160</v>
      </c>
      <c r="R374" t="s">
        <v>34</v>
      </c>
      <c r="S374">
        <v>3</v>
      </c>
      <c r="T374" t="s">
        <v>28</v>
      </c>
      <c r="U374" t="s">
        <v>29</v>
      </c>
    </row>
    <row r="375" spans="1:21" x14ac:dyDescent="0.25">
      <c r="A375" t="s">
        <v>788</v>
      </c>
      <c r="B375">
        <v>43</v>
      </c>
      <c r="C375" t="s">
        <v>31</v>
      </c>
      <c r="D375" t="s">
        <v>23</v>
      </c>
      <c r="E375">
        <v>46007</v>
      </c>
      <c r="F375">
        <v>1</v>
      </c>
      <c r="G375" t="s">
        <v>789</v>
      </c>
      <c r="H375">
        <v>406007</v>
      </c>
      <c r="I375">
        <v>36</v>
      </c>
      <c r="J375">
        <v>6.29</v>
      </c>
      <c r="K375" t="s">
        <v>33</v>
      </c>
      <c r="L375">
        <v>549593.22245193401</v>
      </c>
      <c r="M375">
        <v>213155.210997799</v>
      </c>
      <c r="N375">
        <v>5920.98</v>
      </c>
      <c r="O375" t="s">
        <v>26</v>
      </c>
      <c r="P375">
        <v>3</v>
      </c>
      <c r="Q375">
        <v>54</v>
      </c>
      <c r="R375" t="s">
        <v>34</v>
      </c>
      <c r="S375">
        <v>0</v>
      </c>
      <c r="T375" t="s">
        <v>38</v>
      </c>
      <c r="U375" t="s">
        <v>29</v>
      </c>
    </row>
    <row r="376" spans="1:21" x14ac:dyDescent="0.25">
      <c r="A376" t="s">
        <v>790</v>
      </c>
      <c r="B376">
        <v>35</v>
      </c>
      <c r="C376" t="s">
        <v>31</v>
      </c>
      <c r="D376" t="s">
        <v>49</v>
      </c>
      <c r="E376">
        <v>237374</v>
      </c>
      <c r="F376">
        <v>0</v>
      </c>
      <c r="G376" t="s">
        <v>791</v>
      </c>
      <c r="H376">
        <v>846710</v>
      </c>
      <c r="I376">
        <v>36</v>
      </c>
      <c r="J376">
        <v>12.84</v>
      </c>
      <c r="K376" t="s">
        <v>25</v>
      </c>
      <c r="L376">
        <v>1037462.82719385</v>
      </c>
      <c r="M376">
        <v>627915.16785309406</v>
      </c>
      <c r="N376">
        <v>17442.09</v>
      </c>
      <c r="O376" t="s">
        <v>26</v>
      </c>
      <c r="P376">
        <v>0</v>
      </c>
      <c r="Q376">
        <v>0</v>
      </c>
      <c r="R376" t="s">
        <v>34</v>
      </c>
      <c r="S376">
        <v>0</v>
      </c>
      <c r="T376" t="s">
        <v>38</v>
      </c>
      <c r="U376" t="s">
        <v>29</v>
      </c>
    </row>
    <row r="377" spans="1:21" x14ac:dyDescent="0.25">
      <c r="A377" t="s">
        <v>792</v>
      </c>
      <c r="B377">
        <v>48</v>
      </c>
      <c r="C377" t="s">
        <v>22</v>
      </c>
      <c r="D377" t="s">
        <v>23</v>
      </c>
      <c r="E377">
        <v>185604</v>
      </c>
      <c r="F377">
        <v>1</v>
      </c>
      <c r="G377" t="s">
        <v>793</v>
      </c>
      <c r="H377">
        <v>271552</v>
      </c>
      <c r="I377">
        <v>12</v>
      </c>
      <c r="J377">
        <v>11.81</v>
      </c>
      <c r="K377" t="s">
        <v>33</v>
      </c>
      <c r="L377">
        <v>233641.722364774</v>
      </c>
      <c r="M377">
        <v>123180.98431196201</v>
      </c>
      <c r="N377">
        <v>10265.08</v>
      </c>
      <c r="O377" t="s">
        <v>37</v>
      </c>
      <c r="P377">
        <v>3</v>
      </c>
      <c r="Q377">
        <v>67</v>
      </c>
      <c r="R377" t="s">
        <v>34</v>
      </c>
      <c r="S377">
        <v>0</v>
      </c>
      <c r="T377" t="s">
        <v>45</v>
      </c>
      <c r="U377" t="s">
        <v>29</v>
      </c>
    </row>
    <row r="378" spans="1:21" x14ac:dyDescent="0.25">
      <c r="A378" t="s">
        <v>794</v>
      </c>
      <c r="B378">
        <v>54</v>
      </c>
      <c r="C378" t="s">
        <v>31</v>
      </c>
      <c r="D378" t="s">
        <v>23</v>
      </c>
      <c r="E378">
        <v>69253</v>
      </c>
      <c r="F378">
        <v>0</v>
      </c>
      <c r="G378" t="s">
        <v>795</v>
      </c>
      <c r="H378">
        <v>93764</v>
      </c>
      <c r="I378">
        <v>24</v>
      </c>
      <c r="J378">
        <v>8.3000000000000007</v>
      </c>
      <c r="K378" t="s">
        <v>33</v>
      </c>
      <c r="L378">
        <v>55046.144519750698</v>
      </c>
      <c r="M378">
        <v>31208.395946131601</v>
      </c>
      <c r="N378">
        <v>1300.3499999999999</v>
      </c>
      <c r="O378" t="s">
        <v>37</v>
      </c>
      <c r="P378">
        <v>1</v>
      </c>
      <c r="Q378">
        <v>169</v>
      </c>
      <c r="R378" t="s">
        <v>34</v>
      </c>
      <c r="S378">
        <v>0</v>
      </c>
      <c r="T378" t="s">
        <v>41</v>
      </c>
      <c r="U378" t="s">
        <v>29</v>
      </c>
    </row>
    <row r="379" spans="1:21" x14ac:dyDescent="0.25">
      <c r="A379" t="s">
        <v>796</v>
      </c>
      <c r="B379">
        <v>22</v>
      </c>
      <c r="C379" t="s">
        <v>22</v>
      </c>
      <c r="D379" t="s">
        <v>23</v>
      </c>
      <c r="E379">
        <v>27323</v>
      </c>
      <c r="F379">
        <v>3</v>
      </c>
      <c r="G379" t="s">
        <v>797</v>
      </c>
      <c r="H379">
        <v>173030</v>
      </c>
      <c r="I379">
        <v>72</v>
      </c>
      <c r="J379">
        <v>11.12</v>
      </c>
      <c r="K379" t="s">
        <v>33</v>
      </c>
      <c r="L379">
        <v>121492.910547949</v>
      </c>
      <c r="M379">
        <v>71370.194677960593</v>
      </c>
      <c r="N379">
        <v>991.25</v>
      </c>
      <c r="O379" t="s">
        <v>37</v>
      </c>
      <c r="P379">
        <v>2</v>
      </c>
      <c r="Q379">
        <v>20</v>
      </c>
      <c r="R379" t="s">
        <v>27</v>
      </c>
      <c r="S379">
        <v>6</v>
      </c>
      <c r="T379" t="s">
        <v>38</v>
      </c>
      <c r="U379" t="s">
        <v>29</v>
      </c>
    </row>
    <row r="380" spans="1:21" x14ac:dyDescent="0.25">
      <c r="A380" t="s">
        <v>798</v>
      </c>
      <c r="B380">
        <v>52</v>
      </c>
      <c r="C380" t="s">
        <v>31</v>
      </c>
      <c r="D380" t="s">
        <v>23</v>
      </c>
      <c r="E380">
        <v>126335</v>
      </c>
      <c r="F380">
        <v>0</v>
      </c>
      <c r="G380" t="s">
        <v>799</v>
      </c>
      <c r="H380">
        <v>968638</v>
      </c>
      <c r="I380">
        <v>36</v>
      </c>
      <c r="J380">
        <v>11.4</v>
      </c>
      <c r="K380" t="s">
        <v>44</v>
      </c>
      <c r="L380">
        <v>0</v>
      </c>
      <c r="M380">
        <v>789211.47874301102</v>
      </c>
      <c r="N380">
        <v>21922.54</v>
      </c>
      <c r="O380" t="s">
        <v>26</v>
      </c>
      <c r="P380">
        <v>0</v>
      </c>
      <c r="Q380">
        <v>0</v>
      </c>
      <c r="R380" t="s">
        <v>65</v>
      </c>
      <c r="S380">
        <v>1</v>
      </c>
      <c r="T380" t="s">
        <v>38</v>
      </c>
      <c r="U380" t="s">
        <v>29</v>
      </c>
    </row>
    <row r="381" spans="1:21" x14ac:dyDescent="0.25">
      <c r="A381" t="s">
        <v>800</v>
      </c>
      <c r="B381">
        <v>43</v>
      </c>
      <c r="C381" t="s">
        <v>22</v>
      </c>
      <c r="D381" t="s">
        <v>49</v>
      </c>
      <c r="E381">
        <v>127356</v>
      </c>
      <c r="F381">
        <v>3</v>
      </c>
      <c r="G381" t="s">
        <v>801</v>
      </c>
      <c r="H381">
        <v>1947951</v>
      </c>
      <c r="I381">
        <v>72</v>
      </c>
      <c r="J381">
        <v>7.54</v>
      </c>
      <c r="K381" t="s">
        <v>33</v>
      </c>
      <c r="L381">
        <v>2036563.9542572601</v>
      </c>
      <c r="M381">
        <v>1290896.4383739999</v>
      </c>
      <c r="N381">
        <v>17929.12</v>
      </c>
      <c r="O381" t="s">
        <v>68</v>
      </c>
      <c r="P381">
        <v>11</v>
      </c>
      <c r="Q381">
        <v>40</v>
      </c>
      <c r="R381" t="s">
        <v>27</v>
      </c>
      <c r="S381">
        <v>5</v>
      </c>
      <c r="T381" t="s">
        <v>45</v>
      </c>
      <c r="U381" t="s">
        <v>29</v>
      </c>
    </row>
    <row r="382" spans="1:21" x14ac:dyDescent="0.25">
      <c r="A382" t="s">
        <v>802</v>
      </c>
      <c r="B382">
        <v>42</v>
      </c>
      <c r="C382" t="s">
        <v>31</v>
      </c>
      <c r="D382" t="s">
        <v>23</v>
      </c>
      <c r="E382">
        <v>125944</v>
      </c>
      <c r="F382">
        <v>0</v>
      </c>
      <c r="G382" t="s">
        <v>803</v>
      </c>
      <c r="H382">
        <v>1718531</v>
      </c>
      <c r="I382">
        <v>36</v>
      </c>
      <c r="J382">
        <v>13.48</v>
      </c>
      <c r="K382" t="s">
        <v>44</v>
      </c>
      <c r="L382">
        <v>0</v>
      </c>
      <c r="M382">
        <v>1622079.8258217501</v>
      </c>
      <c r="N382">
        <v>45057.77</v>
      </c>
      <c r="O382" t="s">
        <v>26</v>
      </c>
      <c r="P382">
        <v>3</v>
      </c>
      <c r="Q382">
        <v>61</v>
      </c>
      <c r="R382" t="s">
        <v>34</v>
      </c>
      <c r="S382">
        <v>1</v>
      </c>
      <c r="T382" t="s">
        <v>45</v>
      </c>
      <c r="U382" t="s">
        <v>29</v>
      </c>
    </row>
    <row r="383" spans="1:21" x14ac:dyDescent="0.25">
      <c r="A383" t="s">
        <v>804</v>
      </c>
      <c r="B383">
        <v>45</v>
      </c>
      <c r="C383" t="s">
        <v>31</v>
      </c>
      <c r="D383" t="s">
        <v>23</v>
      </c>
      <c r="E383">
        <v>219451</v>
      </c>
      <c r="F383">
        <v>2</v>
      </c>
      <c r="G383" t="s">
        <v>805</v>
      </c>
      <c r="H383">
        <v>366462</v>
      </c>
      <c r="I383">
        <v>60</v>
      </c>
      <c r="J383">
        <v>15.15</v>
      </c>
      <c r="K383" t="s">
        <v>44</v>
      </c>
      <c r="L383">
        <v>0</v>
      </c>
      <c r="M383">
        <v>260823.57531014099</v>
      </c>
      <c r="N383">
        <v>4347.0600000000004</v>
      </c>
      <c r="O383" t="s">
        <v>37</v>
      </c>
      <c r="P383">
        <v>0</v>
      </c>
      <c r="Q383">
        <v>0</v>
      </c>
      <c r="R383" t="s">
        <v>27</v>
      </c>
      <c r="S383">
        <v>8</v>
      </c>
      <c r="T383" t="s">
        <v>38</v>
      </c>
      <c r="U383" t="s">
        <v>29</v>
      </c>
    </row>
    <row r="384" spans="1:21" x14ac:dyDescent="0.25">
      <c r="A384" t="s">
        <v>806</v>
      </c>
      <c r="B384">
        <v>42</v>
      </c>
      <c r="C384" t="s">
        <v>31</v>
      </c>
      <c r="D384" t="s">
        <v>23</v>
      </c>
      <c r="E384">
        <v>160282</v>
      </c>
      <c r="F384">
        <v>1</v>
      </c>
      <c r="G384" t="s">
        <v>807</v>
      </c>
      <c r="H384">
        <v>939855</v>
      </c>
      <c r="I384">
        <v>36</v>
      </c>
      <c r="J384">
        <v>15.29</v>
      </c>
      <c r="K384" t="s">
        <v>25</v>
      </c>
      <c r="L384">
        <v>664531.13510296005</v>
      </c>
      <c r="M384">
        <v>576284.75176152703</v>
      </c>
      <c r="N384">
        <v>16007.91</v>
      </c>
      <c r="O384" t="s">
        <v>26</v>
      </c>
      <c r="P384">
        <v>1</v>
      </c>
      <c r="Q384">
        <v>44</v>
      </c>
      <c r="R384" t="s">
        <v>27</v>
      </c>
      <c r="S384">
        <v>0</v>
      </c>
      <c r="T384" t="s">
        <v>38</v>
      </c>
      <c r="U384" t="s">
        <v>29</v>
      </c>
    </row>
    <row r="385" spans="1:21" x14ac:dyDescent="0.25">
      <c r="A385" t="s">
        <v>808</v>
      </c>
      <c r="B385">
        <v>42</v>
      </c>
      <c r="C385" t="s">
        <v>31</v>
      </c>
      <c r="D385" t="s">
        <v>58</v>
      </c>
      <c r="E385">
        <v>31456</v>
      </c>
      <c r="F385">
        <v>3</v>
      </c>
      <c r="G385" t="s">
        <v>809</v>
      </c>
      <c r="H385">
        <v>1464718</v>
      </c>
      <c r="I385">
        <v>36</v>
      </c>
      <c r="J385">
        <v>12.83</v>
      </c>
      <c r="K385" t="s">
        <v>44</v>
      </c>
      <c r="L385">
        <v>0</v>
      </c>
      <c r="M385">
        <v>950860.37010074197</v>
      </c>
      <c r="N385">
        <v>26412.79</v>
      </c>
      <c r="O385" t="s">
        <v>37</v>
      </c>
      <c r="P385">
        <v>2</v>
      </c>
      <c r="Q385">
        <v>141</v>
      </c>
      <c r="R385" t="s">
        <v>27</v>
      </c>
      <c r="S385">
        <v>9</v>
      </c>
      <c r="T385" t="s">
        <v>28</v>
      </c>
      <c r="U385" t="s">
        <v>29</v>
      </c>
    </row>
    <row r="386" spans="1:21" x14ac:dyDescent="0.25">
      <c r="A386" t="s">
        <v>810</v>
      </c>
      <c r="B386">
        <v>62</v>
      </c>
      <c r="C386" t="s">
        <v>22</v>
      </c>
      <c r="D386" t="s">
        <v>23</v>
      </c>
      <c r="E386">
        <v>46367</v>
      </c>
      <c r="F386">
        <v>0</v>
      </c>
      <c r="G386" t="s">
        <v>811</v>
      </c>
      <c r="H386">
        <v>110128</v>
      </c>
      <c r="I386">
        <v>24</v>
      </c>
      <c r="J386">
        <v>11.65</v>
      </c>
      <c r="K386" t="s">
        <v>44</v>
      </c>
      <c r="L386">
        <v>0</v>
      </c>
      <c r="M386">
        <v>104416.1336972</v>
      </c>
      <c r="N386">
        <v>4350.67</v>
      </c>
      <c r="O386" t="s">
        <v>26</v>
      </c>
      <c r="P386">
        <v>3</v>
      </c>
      <c r="Q386">
        <v>19</v>
      </c>
      <c r="R386" t="s">
        <v>27</v>
      </c>
      <c r="S386">
        <v>8</v>
      </c>
      <c r="T386" t="s">
        <v>41</v>
      </c>
      <c r="U386" t="s">
        <v>29</v>
      </c>
    </row>
    <row r="387" spans="1:21" x14ac:dyDescent="0.25">
      <c r="A387" t="s">
        <v>812</v>
      </c>
      <c r="B387">
        <v>26</v>
      </c>
      <c r="C387" t="s">
        <v>22</v>
      </c>
      <c r="D387" t="s">
        <v>23</v>
      </c>
      <c r="E387">
        <v>69624</v>
      </c>
      <c r="F387">
        <v>1</v>
      </c>
      <c r="G387" t="s">
        <v>813</v>
      </c>
      <c r="H387">
        <v>269128</v>
      </c>
      <c r="I387">
        <v>36</v>
      </c>
      <c r="J387">
        <v>5.79</v>
      </c>
      <c r="K387" t="s">
        <v>44</v>
      </c>
      <c r="L387">
        <v>0</v>
      </c>
      <c r="M387">
        <v>217827.04586785001</v>
      </c>
      <c r="N387">
        <v>6050.75</v>
      </c>
      <c r="O387" t="s">
        <v>26</v>
      </c>
      <c r="P387">
        <v>0</v>
      </c>
      <c r="Q387">
        <v>0</v>
      </c>
      <c r="R387" t="s">
        <v>27</v>
      </c>
      <c r="S387">
        <v>8</v>
      </c>
      <c r="T387" t="s">
        <v>28</v>
      </c>
      <c r="U387" t="s">
        <v>29</v>
      </c>
    </row>
    <row r="388" spans="1:21" x14ac:dyDescent="0.25">
      <c r="A388" t="s">
        <v>814</v>
      </c>
      <c r="B388">
        <v>35</v>
      </c>
      <c r="C388" t="s">
        <v>31</v>
      </c>
      <c r="D388" t="s">
        <v>49</v>
      </c>
      <c r="E388">
        <v>156178</v>
      </c>
      <c r="F388">
        <v>0</v>
      </c>
      <c r="G388" t="s">
        <v>815</v>
      </c>
      <c r="H388">
        <v>858301</v>
      </c>
      <c r="I388">
        <v>48</v>
      </c>
      <c r="J388">
        <v>8.74</v>
      </c>
      <c r="K388" t="s">
        <v>44</v>
      </c>
      <c r="L388">
        <v>0</v>
      </c>
      <c r="M388">
        <v>104401.256265566</v>
      </c>
      <c r="N388">
        <v>2175.0300000000002</v>
      </c>
      <c r="O388" t="s">
        <v>26</v>
      </c>
      <c r="P388">
        <v>2</v>
      </c>
      <c r="Q388">
        <v>40</v>
      </c>
      <c r="R388" t="s">
        <v>34</v>
      </c>
      <c r="S388">
        <v>2</v>
      </c>
      <c r="T388" t="s">
        <v>38</v>
      </c>
      <c r="U388" t="s">
        <v>29</v>
      </c>
    </row>
    <row r="389" spans="1:21" x14ac:dyDescent="0.25">
      <c r="A389" t="s">
        <v>816</v>
      </c>
      <c r="B389">
        <v>63</v>
      </c>
      <c r="C389" t="s">
        <v>22</v>
      </c>
      <c r="D389" t="s">
        <v>23</v>
      </c>
      <c r="E389">
        <v>249565</v>
      </c>
      <c r="F389">
        <v>1</v>
      </c>
      <c r="G389" t="s">
        <v>817</v>
      </c>
      <c r="H389">
        <v>1332116</v>
      </c>
      <c r="I389">
        <v>72</v>
      </c>
      <c r="J389">
        <v>6.21</v>
      </c>
      <c r="K389" t="s">
        <v>64</v>
      </c>
      <c r="L389">
        <v>1390693.2851124899</v>
      </c>
      <c r="M389">
        <v>773594.03191174997</v>
      </c>
      <c r="N389">
        <v>10744.36</v>
      </c>
      <c r="O389" t="s">
        <v>26</v>
      </c>
      <c r="P389">
        <v>2</v>
      </c>
      <c r="Q389">
        <v>0</v>
      </c>
      <c r="R389" t="s">
        <v>27</v>
      </c>
      <c r="S389">
        <v>10</v>
      </c>
      <c r="T389" t="s">
        <v>28</v>
      </c>
      <c r="U389" t="s">
        <v>29</v>
      </c>
    </row>
    <row r="390" spans="1:21" x14ac:dyDescent="0.25">
      <c r="A390" t="s">
        <v>818</v>
      </c>
      <c r="B390">
        <v>57</v>
      </c>
      <c r="C390" t="s">
        <v>31</v>
      </c>
      <c r="D390" t="s">
        <v>58</v>
      </c>
      <c r="E390">
        <v>83008</v>
      </c>
      <c r="F390">
        <v>1</v>
      </c>
      <c r="G390" t="s">
        <v>819</v>
      </c>
      <c r="H390">
        <v>55039</v>
      </c>
      <c r="I390">
        <v>60</v>
      </c>
      <c r="J390">
        <v>17.53</v>
      </c>
      <c r="K390" t="s">
        <v>44</v>
      </c>
      <c r="L390">
        <v>0</v>
      </c>
      <c r="M390">
        <v>39600.812049800203</v>
      </c>
      <c r="N390">
        <v>660.01</v>
      </c>
      <c r="O390" t="s">
        <v>37</v>
      </c>
      <c r="P390">
        <v>0</v>
      </c>
      <c r="Q390">
        <v>0</v>
      </c>
      <c r="R390" t="s">
        <v>34</v>
      </c>
      <c r="S390">
        <v>0</v>
      </c>
      <c r="T390" t="s">
        <v>28</v>
      </c>
      <c r="U390" t="s">
        <v>29</v>
      </c>
    </row>
    <row r="391" spans="1:21" x14ac:dyDescent="0.25">
      <c r="A391" t="s">
        <v>820</v>
      </c>
      <c r="B391">
        <v>53</v>
      </c>
      <c r="C391" t="s">
        <v>22</v>
      </c>
      <c r="D391" t="s">
        <v>49</v>
      </c>
      <c r="E391">
        <v>140926</v>
      </c>
      <c r="F391">
        <v>0</v>
      </c>
      <c r="G391" t="s">
        <v>821</v>
      </c>
      <c r="H391">
        <v>202353</v>
      </c>
      <c r="I391">
        <v>24</v>
      </c>
      <c r="J391">
        <v>6.76</v>
      </c>
      <c r="K391" t="s">
        <v>44</v>
      </c>
      <c r="L391">
        <v>0</v>
      </c>
      <c r="M391">
        <v>156586.54488683899</v>
      </c>
      <c r="N391">
        <v>6524.44</v>
      </c>
      <c r="O391" t="s">
        <v>37</v>
      </c>
      <c r="P391">
        <v>2</v>
      </c>
      <c r="Q391">
        <v>104</v>
      </c>
      <c r="R391" t="s">
        <v>65</v>
      </c>
      <c r="S391">
        <v>6</v>
      </c>
      <c r="T391" t="s">
        <v>38</v>
      </c>
      <c r="U391" t="s">
        <v>29</v>
      </c>
    </row>
    <row r="392" spans="1:21" x14ac:dyDescent="0.25">
      <c r="A392" t="s">
        <v>822</v>
      </c>
      <c r="B392">
        <v>28</v>
      </c>
      <c r="C392" t="s">
        <v>22</v>
      </c>
      <c r="D392" t="s">
        <v>49</v>
      </c>
      <c r="E392">
        <v>130395</v>
      </c>
      <c r="F392">
        <v>3</v>
      </c>
      <c r="G392" t="s">
        <v>823</v>
      </c>
      <c r="H392">
        <v>162935</v>
      </c>
      <c r="I392">
        <v>12</v>
      </c>
      <c r="J392">
        <v>6.97</v>
      </c>
      <c r="K392" t="s">
        <v>25</v>
      </c>
      <c r="L392">
        <v>119203.087099906</v>
      </c>
      <c r="M392">
        <v>47548.980089374701</v>
      </c>
      <c r="N392">
        <v>3962.42</v>
      </c>
      <c r="O392" t="s">
        <v>68</v>
      </c>
      <c r="P392">
        <v>8</v>
      </c>
      <c r="Q392">
        <v>115</v>
      </c>
      <c r="R392" t="s">
        <v>34</v>
      </c>
      <c r="S392">
        <v>2</v>
      </c>
      <c r="T392" t="s">
        <v>45</v>
      </c>
      <c r="U392" t="s">
        <v>29</v>
      </c>
    </row>
    <row r="393" spans="1:21" x14ac:dyDescent="0.25">
      <c r="A393" t="s">
        <v>824</v>
      </c>
      <c r="B393">
        <v>64</v>
      </c>
      <c r="C393" t="s">
        <v>22</v>
      </c>
      <c r="D393" t="s">
        <v>49</v>
      </c>
      <c r="E393">
        <v>131492</v>
      </c>
      <c r="F393">
        <v>3</v>
      </c>
      <c r="G393" t="s">
        <v>825</v>
      </c>
      <c r="H393">
        <v>1633306</v>
      </c>
      <c r="I393">
        <v>24</v>
      </c>
      <c r="J393">
        <v>16.559999999999999</v>
      </c>
      <c r="K393" t="s">
        <v>44</v>
      </c>
      <c r="L393">
        <v>0</v>
      </c>
      <c r="M393">
        <v>1438059.97848057</v>
      </c>
      <c r="N393">
        <v>59919.17</v>
      </c>
      <c r="O393" t="s">
        <v>26</v>
      </c>
      <c r="P393">
        <v>2</v>
      </c>
      <c r="Q393">
        <v>176</v>
      </c>
      <c r="R393" t="s">
        <v>34</v>
      </c>
      <c r="S393">
        <v>3</v>
      </c>
      <c r="T393" t="s">
        <v>38</v>
      </c>
      <c r="U393" t="s">
        <v>29</v>
      </c>
    </row>
    <row r="394" spans="1:21" x14ac:dyDescent="0.25">
      <c r="A394" t="s">
        <v>826</v>
      </c>
      <c r="B394">
        <v>64</v>
      </c>
      <c r="C394" t="s">
        <v>22</v>
      </c>
      <c r="D394" t="s">
        <v>58</v>
      </c>
      <c r="E394">
        <v>87240</v>
      </c>
      <c r="F394">
        <v>2</v>
      </c>
      <c r="G394" t="s">
        <v>827</v>
      </c>
      <c r="H394">
        <v>1958796</v>
      </c>
      <c r="I394">
        <v>48</v>
      </c>
      <c r="J394">
        <v>17.27</v>
      </c>
      <c r="K394" t="s">
        <v>64</v>
      </c>
      <c r="L394">
        <v>2642266.6798342499</v>
      </c>
      <c r="M394">
        <v>1880951.1599827099</v>
      </c>
      <c r="N394">
        <v>39186.480000000003</v>
      </c>
      <c r="O394" t="s">
        <v>37</v>
      </c>
      <c r="P394">
        <v>3</v>
      </c>
      <c r="Q394">
        <v>152</v>
      </c>
      <c r="R394" t="s">
        <v>34</v>
      </c>
      <c r="S394">
        <v>0</v>
      </c>
      <c r="T394" t="s">
        <v>45</v>
      </c>
      <c r="U394" t="s">
        <v>29</v>
      </c>
    </row>
    <row r="395" spans="1:21" x14ac:dyDescent="0.25">
      <c r="A395" t="s">
        <v>828</v>
      </c>
      <c r="B395">
        <v>25</v>
      </c>
      <c r="C395" t="s">
        <v>31</v>
      </c>
      <c r="D395" t="s">
        <v>58</v>
      </c>
      <c r="E395">
        <v>79315</v>
      </c>
      <c r="F395">
        <v>1</v>
      </c>
      <c r="G395" t="s">
        <v>829</v>
      </c>
      <c r="H395">
        <v>1388306</v>
      </c>
      <c r="I395">
        <v>60</v>
      </c>
      <c r="J395">
        <v>14.96</v>
      </c>
      <c r="K395" t="s">
        <v>44</v>
      </c>
      <c r="L395">
        <v>0</v>
      </c>
      <c r="M395">
        <v>434600.551456641</v>
      </c>
      <c r="N395">
        <v>7243.34</v>
      </c>
      <c r="O395" t="s">
        <v>37</v>
      </c>
      <c r="P395">
        <v>2</v>
      </c>
      <c r="Q395">
        <v>120</v>
      </c>
      <c r="R395" t="s">
        <v>27</v>
      </c>
      <c r="S395">
        <v>4</v>
      </c>
      <c r="T395" t="s">
        <v>38</v>
      </c>
      <c r="U395" t="s">
        <v>29</v>
      </c>
    </row>
    <row r="396" spans="1:21" x14ac:dyDescent="0.25">
      <c r="A396" t="s">
        <v>830</v>
      </c>
      <c r="B396">
        <v>59</v>
      </c>
      <c r="C396" t="s">
        <v>22</v>
      </c>
      <c r="D396" t="s">
        <v>49</v>
      </c>
      <c r="E396">
        <v>215321</v>
      </c>
      <c r="F396">
        <v>2</v>
      </c>
      <c r="G396" t="s">
        <v>831</v>
      </c>
      <c r="H396">
        <v>103053</v>
      </c>
      <c r="I396">
        <v>72</v>
      </c>
      <c r="J396">
        <v>5.07</v>
      </c>
      <c r="K396" t="s">
        <v>25</v>
      </c>
      <c r="L396">
        <v>92466.517090627895</v>
      </c>
      <c r="M396">
        <v>92165.853669172298</v>
      </c>
      <c r="N396">
        <v>1280.08</v>
      </c>
      <c r="O396" t="s">
        <v>26</v>
      </c>
      <c r="P396">
        <v>3</v>
      </c>
      <c r="Q396">
        <v>74</v>
      </c>
      <c r="R396" t="s">
        <v>34</v>
      </c>
      <c r="S396">
        <v>2</v>
      </c>
      <c r="T396" t="s">
        <v>38</v>
      </c>
      <c r="U396" t="s">
        <v>29</v>
      </c>
    </row>
    <row r="397" spans="1:21" x14ac:dyDescent="0.25">
      <c r="A397" t="s">
        <v>832</v>
      </c>
      <c r="B397">
        <v>24</v>
      </c>
      <c r="C397" t="s">
        <v>22</v>
      </c>
      <c r="D397" t="s">
        <v>49</v>
      </c>
      <c r="E397">
        <v>216659</v>
      </c>
      <c r="F397">
        <v>2</v>
      </c>
      <c r="G397" t="s">
        <v>833</v>
      </c>
      <c r="H397">
        <v>1280137</v>
      </c>
      <c r="I397">
        <v>12</v>
      </c>
      <c r="J397">
        <v>5.0199999999999996</v>
      </c>
      <c r="K397" t="s">
        <v>25</v>
      </c>
      <c r="L397">
        <v>954406.94164470304</v>
      </c>
      <c r="M397">
        <v>239745.19189995999</v>
      </c>
      <c r="N397">
        <v>19978.77</v>
      </c>
      <c r="O397" t="s">
        <v>26</v>
      </c>
      <c r="P397">
        <v>2</v>
      </c>
      <c r="Q397">
        <v>8</v>
      </c>
      <c r="R397" t="s">
        <v>34</v>
      </c>
      <c r="S397">
        <v>2</v>
      </c>
      <c r="T397" t="s">
        <v>38</v>
      </c>
      <c r="U397" t="s">
        <v>29</v>
      </c>
    </row>
    <row r="398" spans="1:21" x14ac:dyDescent="0.25">
      <c r="A398" t="s">
        <v>834</v>
      </c>
      <c r="B398">
        <v>26</v>
      </c>
      <c r="C398" t="s">
        <v>22</v>
      </c>
      <c r="D398" t="s">
        <v>23</v>
      </c>
      <c r="E398">
        <v>25756</v>
      </c>
      <c r="F398">
        <v>0</v>
      </c>
      <c r="G398" t="s">
        <v>835</v>
      </c>
      <c r="H398">
        <v>1837040</v>
      </c>
      <c r="I398">
        <v>48</v>
      </c>
      <c r="J398">
        <v>9.92</v>
      </c>
      <c r="K398" t="s">
        <v>64</v>
      </c>
      <c r="L398">
        <v>2410795.6861610599</v>
      </c>
      <c r="M398">
        <v>275806.117595435</v>
      </c>
      <c r="N398">
        <v>5745.96</v>
      </c>
      <c r="O398" t="s">
        <v>37</v>
      </c>
      <c r="P398">
        <v>1</v>
      </c>
      <c r="Q398">
        <v>59</v>
      </c>
      <c r="R398" t="s">
        <v>65</v>
      </c>
      <c r="S398">
        <v>1</v>
      </c>
      <c r="T398" t="s">
        <v>41</v>
      </c>
      <c r="U398" t="s">
        <v>29</v>
      </c>
    </row>
    <row r="399" spans="1:21" x14ac:dyDescent="0.25">
      <c r="A399" t="s">
        <v>836</v>
      </c>
      <c r="B399">
        <v>52</v>
      </c>
      <c r="C399" t="s">
        <v>22</v>
      </c>
      <c r="D399" t="s">
        <v>23</v>
      </c>
      <c r="E399">
        <v>214083</v>
      </c>
      <c r="F399">
        <v>0</v>
      </c>
      <c r="G399" t="s">
        <v>837</v>
      </c>
      <c r="H399">
        <v>136346</v>
      </c>
      <c r="I399">
        <v>48</v>
      </c>
      <c r="J399">
        <v>6.86</v>
      </c>
      <c r="K399" t="s">
        <v>25</v>
      </c>
      <c r="L399">
        <v>114917.72149536401</v>
      </c>
      <c r="M399">
        <v>29491.8334239285</v>
      </c>
      <c r="N399">
        <v>614.41</v>
      </c>
      <c r="O399" t="s">
        <v>68</v>
      </c>
      <c r="P399">
        <v>3</v>
      </c>
      <c r="Q399">
        <v>73</v>
      </c>
      <c r="R399" t="s">
        <v>65</v>
      </c>
      <c r="S399">
        <v>9</v>
      </c>
      <c r="T399" t="s">
        <v>45</v>
      </c>
      <c r="U399" t="s">
        <v>29</v>
      </c>
    </row>
    <row r="400" spans="1:21" x14ac:dyDescent="0.25">
      <c r="A400" t="s">
        <v>838</v>
      </c>
      <c r="B400">
        <v>50</v>
      </c>
      <c r="C400" t="s">
        <v>31</v>
      </c>
      <c r="D400" t="s">
        <v>23</v>
      </c>
      <c r="E400">
        <v>51378</v>
      </c>
      <c r="F400">
        <v>0</v>
      </c>
      <c r="G400" t="s">
        <v>839</v>
      </c>
      <c r="H400">
        <v>379231</v>
      </c>
      <c r="I400">
        <v>60</v>
      </c>
      <c r="J400">
        <v>5.24</v>
      </c>
      <c r="K400" t="s">
        <v>33</v>
      </c>
      <c r="L400">
        <v>231895.08734678899</v>
      </c>
      <c r="M400">
        <v>57630.586576627204</v>
      </c>
      <c r="N400">
        <v>960.51</v>
      </c>
      <c r="O400" t="s">
        <v>37</v>
      </c>
      <c r="P400">
        <v>3</v>
      </c>
      <c r="Q400">
        <v>180</v>
      </c>
      <c r="R400" t="s">
        <v>34</v>
      </c>
      <c r="S400">
        <v>1</v>
      </c>
      <c r="T400" t="s">
        <v>41</v>
      </c>
      <c r="U400" t="s">
        <v>29</v>
      </c>
    </row>
    <row r="401" spans="1:21" x14ac:dyDescent="0.25">
      <c r="A401" t="s">
        <v>840</v>
      </c>
      <c r="B401">
        <v>55</v>
      </c>
      <c r="C401" t="s">
        <v>22</v>
      </c>
      <c r="D401" t="s">
        <v>23</v>
      </c>
      <c r="E401">
        <v>150327</v>
      </c>
      <c r="F401">
        <v>1</v>
      </c>
      <c r="G401" t="s">
        <v>841</v>
      </c>
      <c r="H401">
        <v>455841</v>
      </c>
      <c r="I401">
        <v>48</v>
      </c>
      <c r="J401">
        <v>11.03</v>
      </c>
      <c r="K401" t="s">
        <v>44</v>
      </c>
      <c r="L401">
        <v>0</v>
      </c>
      <c r="M401">
        <v>392256.20087759302</v>
      </c>
      <c r="N401">
        <v>8172</v>
      </c>
      <c r="O401" t="s">
        <v>26</v>
      </c>
      <c r="P401">
        <v>3</v>
      </c>
      <c r="Q401">
        <v>72</v>
      </c>
      <c r="R401" t="s">
        <v>34</v>
      </c>
      <c r="S401">
        <v>1</v>
      </c>
      <c r="T401" t="s">
        <v>38</v>
      </c>
      <c r="U401" t="s">
        <v>29</v>
      </c>
    </row>
    <row r="402" spans="1:21" x14ac:dyDescent="0.25">
      <c r="A402" t="s">
        <v>842</v>
      </c>
      <c r="B402">
        <v>60</v>
      </c>
      <c r="C402" t="s">
        <v>22</v>
      </c>
      <c r="D402" t="s">
        <v>23</v>
      </c>
      <c r="E402">
        <v>160556</v>
      </c>
      <c r="F402">
        <v>0</v>
      </c>
      <c r="G402" t="s">
        <v>843</v>
      </c>
      <c r="H402">
        <v>608685</v>
      </c>
      <c r="I402">
        <v>60</v>
      </c>
      <c r="J402">
        <v>17.260000000000002</v>
      </c>
      <c r="K402" t="s">
        <v>44</v>
      </c>
      <c r="L402">
        <v>0</v>
      </c>
      <c r="M402">
        <v>93217.143461624903</v>
      </c>
      <c r="N402">
        <v>1553.62</v>
      </c>
      <c r="O402" t="s">
        <v>26</v>
      </c>
      <c r="P402">
        <v>1</v>
      </c>
      <c r="Q402">
        <v>179</v>
      </c>
      <c r="R402" t="s">
        <v>27</v>
      </c>
      <c r="S402">
        <v>10</v>
      </c>
      <c r="T402" t="s">
        <v>28</v>
      </c>
      <c r="U402" t="s">
        <v>29</v>
      </c>
    </row>
    <row r="403" spans="1:21" x14ac:dyDescent="0.25">
      <c r="A403" t="s">
        <v>844</v>
      </c>
      <c r="B403">
        <v>36</v>
      </c>
      <c r="C403" t="s">
        <v>22</v>
      </c>
      <c r="D403" t="s">
        <v>23</v>
      </c>
      <c r="E403">
        <v>140703</v>
      </c>
      <c r="F403">
        <v>0</v>
      </c>
      <c r="G403" t="s">
        <v>845</v>
      </c>
      <c r="H403">
        <v>1419391</v>
      </c>
      <c r="I403">
        <v>60</v>
      </c>
      <c r="J403">
        <v>9.2100000000000009</v>
      </c>
      <c r="K403" t="s">
        <v>44</v>
      </c>
      <c r="L403">
        <v>0</v>
      </c>
      <c r="M403">
        <v>488977.03741946502</v>
      </c>
      <c r="N403">
        <v>8149.62</v>
      </c>
      <c r="O403" t="s">
        <v>26</v>
      </c>
      <c r="P403">
        <v>2</v>
      </c>
      <c r="Q403">
        <v>116</v>
      </c>
      <c r="R403" t="s">
        <v>65</v>
      </c>
      <c r="S403">
        <v>7</v>
      </c>
      <c r="T403" t="s">
        <v>41</v>
      </c>
      <c r="U403" t="s">
        <v>29</v>
      </c>
    </row>
    <row r="404" spans="1:21" x14ac:dyDescent="0.25">
      <c r="A404" t="s">
        <v>846</v>
      </c>
      <c r="B404">
        <v>33</v>
      </c>
      <c r="C404" t="s">
        <v>31</v>
      </c>
      <c r="D404" t="s">
        <v>23</v>
      </c>
      <c r="E404">
        <v>71549</v>
      </c>
      <c r="F404">
        <v>1</v>
      </c>
      <c r="G404" t="s">
        <v>847</v>
      </c>
      <c r="H404">
        <v>166214</v>
      </c>
      <c r="I404">
        <v>24</v>
      </c>
      <c r="J404">
        <v>13.59</v>
      </c>
      <c r="K404" t="s">
        <v>33</v>
      </c>
      <c r="L404">
        <v>177917.04320416501</v>
      </c>
      <c r="M404">
        <v>32142.5811960219</v>
      </c>
      <c r="N404">
        <v>1339.27</v>
      </c>
      <c r="O404" t="s">
        <v>37</v>
      </c>
      <c r="P404">
        <v>3</v>
      </c>
      <c r="Q404">
        <v>18</v>
      </c>
      <c r="R404" t="s">
        <v>34</v>
      </c>
      <c r="S404">
        <v>1</v>
      </c>
      <c r="T404" t="s">
        <v>45</v>
      </c>
      <c r="U404" t="s">
        <v>29</v>
      </c>
    </row>
    <row r="405" spans="1:21" x14ac:dyDescent="0.25">
      <c r="A405" t="s">
        <v>848</v>
      </c>
      <c r="B405">
        <v>62</v>
      </c>
      <c r="C405" t="s">
        <v>22</v>
      </c>
      <c r="D405" t="s">
        <v>49</v>
      </c>
      <c r="E405">
        <v>180575</v>
      </c>
      <c r="F405">
        <v>1</v>
      </c>
      <c r="G405" t="s">
        <v>849</v>
      </c>
      <c r="H405">
        <v>535001</v>
      </c>
      <c r="I405">
        <v>60</v>
      </c>
      <c r="J405">
        <v>13.48</v>
      </c>
      <c r="K405" t="s">
        <v>44</v>
      </c>
      <c r="L405">
        <v>0</v>
      </c>
      <c r="M405">
        <v>195746.07636491099</v>
      </c>
      <c r="N405">
        <v>3262.43</v>
      </c>
      <c r="O405" t="s">
        <v>37</v>
      </c>
      <c r="P405">
        <v>0</v>
      </c>
      <c r="Q405">
        <v>0</v>
      </c>
      <c r="R405" t="s">
        <v>27</v>
      </c>
      <c r="S405">
        <v>1</v>
      </c>
      <c r="T405" t="s">
        <v>38</v>
      </c>
      <c r="U405" t="s">
        <v>29</v>
      </c>
    </row>
    <row r="406" spans="1:21" x14ac:dyDescent="0.25">
      <c r="A406" t="s">
        <v>850</v>
      </c>
      <c r="B406">
        <v>50</v>
      </c>
      <c r="C406" t="s">
        <v>31</v>
      </c>
      <c r="D406" t="s">
        <v>58</v>
      </c>
      <c r="E406">
        <v>88794</v>
      </c>
      <c r="F406">
        <v>3</v>
      </c>
      <c r="G406" t="s">
        <v>851</v>
      </c>
      <c r="H406">
        <v>903329</v>
      </c>
      <c r="I406">
        <v>24</v>
      </c>
      <c r="J406">
        <v>8.26</v>
      </c>
      <c r="K406" t="s">
        <v>44</v>
      </c>
      <c r="L406">
        <v>0</v>
      </c>
      <c r="M406">
        <v>163957.393977625</v>
      </c>
      <c r="N406">
        <v>6831.56</v>
      </c>
      <c r="O406" t="s">
        <v>26</v>
      </c>
      <c r="P406">
        <v>2</v>
      </c>
      <c r="Q406">
        <v>175</v>
      </c>
      <c r="R406" t="s">
        <v>34</v>
      </c>
      <c r="S406">
        <v>2</v>
      </c>
      <c r="T406" t="s">
        <v>41</v>
      </c>
      <c r="U406" t="s">
        <v>29</v>
      </c>
    </row>
    <row r="407" spans="1:21" x14ac:dyDescent="0.25">
      <c r="A407" t="s">
        <v>852</v>
      </c>
      <c r="B407">
        <v>39</v>
      </c>
      <c r="C407" t="s">
        <v>31</v>
      </c>
      <c r="D407" t="s">
        <v>23</v>
      </c>
      <c r="E407">
        <v>246804</v>
      </c>
      <c r="F407">
        <v>0</v>
      </c>
      <c r="G407" t="s">
        <v>853</v>
      </c>
      <c r="H407">
        <v>1780085</v>
      </c>
      <c r="I407">
        <v>60</v>
      </c>
      <c r="J407">
        <v>13.46</v>
      </c>
      <c r="K407" t="s">
        <v>44</v>
      </c>
      <c r="L407">
        <v>0</v>
      </c>
      <c r="M407">
        <v>1248200.80993899</v>
      </c>
      <c r="N407">
        <v>20803.349999999999</v>
      </c>
      <c r="O407" t="s">
        <v>37</v>
      </c>
      <c r="P407">
        <v>2</v>
      </c>
      <c r="Q407">
        <v>59</v>
      </c>
      <c r="R407" t="s">
        <v>27</v>
      </c>
      <c r="S407">
        <v>8</v>
      </c>
      <c r="T407" t="s">
        <v>28</v>
      </c>
      <c r="U407" t="s">
        <v>29</v>
      </c>
    </row>
    <row r="408" spans="1:21" x14ac:dyDescent="0.25">
      <c r="A408" t="s">
        <v>854</v>
      </c>
      <c r="B408">
        <v>37</v>
      </c>
      <c r="C408" t="s">
        <v>22</v>
      </c>
      <c r="D408" t="s">
        <v>23</v>
      </c>
      <c r="E408">
        <v>60113</v>
      </c>
      <c r="F408">
        <v>0</v>
      </c>
      <c r="G408" t="s">
        <v>855</v>
      </c>
      <c r="H408">
        <v>1037410</v>
      </c>
      <c r="I408">
        <v>36</v>
      </c>
      <c r="J408">
        <v>7.76</v>
      </c>
      <c r="K408" t="s">
        <v>44</v>
      </c>
      <c r="L408">
        <v>0</v>
      </c>
      <c r="M408">
        <v>228224.11528775599</v>
      </c>
      <c r="N408">
        <v>6339.56</v>
      </c>
      <c r="O408" t="s">
        <v>26</v>
      </c>
      <c r="P408">
        <v>1</v>
      </c>
      <c r="Q408">
        <v>67</v>
      </c>
      <c r="R408" t="s">
        <v>27</v>
      </c>
      <c r="S408">
        <v>5</v>
      </c>
      <c r="T408" t="s">
        <v>41</v>
      </c>
      <c r="U408" t="s">
        <v>29</v>
      </c>
    </row>
    <row r="409" spans="1:21" x14ac:dyDescent="0.25">
      <c r="A409" t="s">
        <v>856</v>
      </c>
      <c r="B409">
        <v>39</v>
      </c>
      <c r="C409" t="s">
        <v>22</v>
      </c>
      <c r="D409" t="s">
        <v>49</v>
      </c>
      <c r="E409">
        <v>89069</v>
      </c>
      <c r="F409">
        <v>0</v>
      </c>
      <c r="G409" t="s">
        <v>857</v>
      </c>
      <c r="H409">
        <v>1497075</v>
      </c>
      <c r="I409">
        <v>48</v>
      </c>
      <c r="J409">
        <v>6.59</v>
      </c>
      <c r="K409" t="s">
        <v>44</v>
      </c>
      <c r="L409">
        <v>0</v>
      </c>
      <c r="M409">
        <v>1297457.01548273</v>
      </c>
      <c r="N409">
        <v>27030.35</v>
      </c>
      <c r="O409" t="s">
        <v>68</v>
      </c>
      <c r="P409">
        <v>6</v>
      </c>
      <c r="Q409">
        <v>160</v>
      </c>
      <c r="R409" t="s">
        <v>34</v>
      </c>
      <c r="S409">
        <v>0</v>
      </c>
      <c r="T409" t="s">
        <v>45</v>
      </c>
      <c r="U409" t="s">
        <v>29</v>
      </c>
    </row>
    <row r="410" spans="1:21" x14ac:dyDescent="0.25">
      <c r="A410" t="s">
        <v>858</v>
      </c>
      <c r="B410">
        <v>48</v>
      </c>
      <c r="C410" t="s">
        <v>22</v>
      </c>
      <c r="D410" t="s">
        <v>23</v>
      </c>
      <c r="E410">
        <v>244189</v>
      </c>
      <c r="F410">
        <v>3</v>
      </c>
      <c r="G410" t="s">
        <v>859</v>
      </c>
      <c r="H410">
        <v>450826</v>
      </c>
      <c r="I410">
        <v>72</v>
      </c>
      <c r="J410">
        <v>14.12</v>
      </c>
      <c r="K410" t="s">
        <v>64</v>
      </c>
      <c r="L410">
        <v>487597.26402996102</v>
      </c>
      <c r="M410">
        <v>376652.47537140001</v>
      </c>
      <c r="N410">
        <v>5231.28</v>
      </c>
      <c r="O410" t="s">
        <v>26</v>
      </c>
      <c r="P410">
        <v>2</v>
      </c>
      <c r="Q410">
        <v>150</v>
      </c>
      <c r="R410" t="s">
        <v>34</v>
      </c>
      <c r="S410">
        <v>2</v>
      </c>
      <c r="T410" t="s">
        <v>41</v>
      </c>
      <c r="U410" t="s">
        <v>29</v>
      </c>
    </row>
    <row r="411" spans="1:21" x14ac:dyDescent="0.25">
      <c r="A411" t="s">
        <v>860</v>
      </c>
      <c r="B411">
        <v>46</v>
      </c>
      <c r="C411" t="s">
        <v>22</v>
      </c>
      <c r="D411" t="s">
        <v>49</v>
      </c>
      <c r="E411">
        <v>151321</v>
      </c>
      <c r="F411">
        <v>0</v>
      </c>
      <c r="G411" t="s">
        <v>861</v>
      </c>
      <c r="H411">
        <v>486542</v>
      </c>
      <c r="I411">
        <v>72</v>
      </c>
      <c r="J411">
        <v>6.47</v>
      </c>
      <c r="K411" t="s">
        <v>25</v>
      </c>
      <c r="L411">
        <v>591000.46322054497</v>
      </c>
      <c r="M411">
        <v>54636.485395017102</v>
      </c>
      <c r="N411">
        <v>758.84</v>
      </c>
      <c r="O411" t="s">
        <v>26</v>
      </c>
      <c r="P411">
        <v>3</v>
      </c>
      <c r="Q411">
        <v>169</v>
      </c>
      <c r="R411" t="s">
        <v>65</v>
      </c>
      <c r="S411">
        <v>9</v>
      </c>
      <c r="T411" t="s">
        <v>28</v>
      </c>
      <c r="U411" t="s">
        <v>79</v>
      </c>
    </row>
    <row r="412" spans="1:21" x14ac:dyDescent="0.25">
      <c r="A412" t="s">
        <v>862</v>
      </c>
      <c r="B412">
        <v>57</v>
      </c>
      <c r="C412" t="s">
        <v>31</v>
      </c>
      <c r="D412" t="s">
        <v>23</v>
      </c>
      <c r="E412">
        <v>165273</v>
      </c>
      <c r="F412">
        <v>3</v>
      </c>
      <c r="G412" t="s">
        <v>863</v>
      </c>
      <c r="H412">
        <v>1375644</v>
      </c>
      <c r="I412">
        <v>60</v>
      </c>
      <c r="J412">
        <v>17.96</v>
      </c>
      <c r="K412" t="s">
        <v>25</v>
      </c>
      <c r="L412">
        <v>1018278.42197652</v>
      </c>
      <c r="M412">
        <v>1246544.9279456099</v>
      </c>
      <c r="N412">
        <v>20775.75</v>
      </c>
      <c r="O412" t="s">
        <v>26</v>
      </c>
      <c r="P412">
        <v>3</v>
      </c>
      <c r="Q412">
        <v>50</v>
      </c>
      <c r="R412" t="s">
        <v>27</v>
      </c>
      <c r="S412">
        <v>3</v>
      </c>
      <c r="T412" t="s">
        <v>28</v>
      </c>
      <c r="U412" t="s">
        <v>29</v>
      </c>
    </row>
    <row r="413" spans="1:21" x14ac:dyDescent="0.25">
      <c r="A413" t="s">
        <v>864</v>
      </c>
      <c r="B413">
        <v>46</v>
      </c>
      <c r="C413" t="s">
        <v>31</v>
      </c>
      <c r="D413" t="s">
        <v>23</v>
      </c>
      <c r="E413">
        <v>140541</v>
      </c>
      <c r="F413">
        <v>2</v>
      </c>
      <c r="G413" t="s">
        <v>865</v>
      </c>
      <c r="H413">
        <v>687431</v>
      </c>
      <c r="I413">
        <v>48</v>
      </c>
      <c r="J413">
        <v>7.38</v>
      </c>
      <c r="K413" t="s">
        <v>33</v>
      </c>
      <c r="L413">
        <v>648777.67540352105</v>
      </c>
      <c r="M413">
        <v>86650.598542888605</v>
      </c>
      <c r="N413">
        <v>1805.22</v>
      </c>
      <c r="O413" t="s">
        <v>26</v>
      </c>
      <c r="P413">
        <v>3</v>
      </c>
      <c r="Q413">
        <v>108</v>
      </c>
      <c r="R413" t="s">
        <v>34</v>
      </c>
      <c r="S413">
        <v>3</v>
      </c>
      <c r="T413" t="s">
        <v>45</v>
      </c>
      <c r="U413" t="s">
        <v>29</v>
      </c>
    </row>
    <row r="414" spans="1:21" x14ac:dyDescent="0.25">
      <c r="A414" t="s">
        <v>866</v>
      </c>
      <c r="B414">
        <v>43</v>
      </c>
      <c r="C414" t="s">
        <v>22</v>
      </c>
      <c r="D414" t="s">
        <v>58</v>
      </c>
      <c r="E414">
        <v>204648</v>
      </c>
      <c r="F414">
        <v>3</v>
      </c>
      <c r="G414" t="s">
        <v>867</v>
      </c>
      <c r="H414">
        <v>422397</v>
      </c>
      <c r="I414">
        <v>60</v>
      </c>
      <c r="J414">
        <v>12.72</v>
      </c>
      <c r="K414" t="s">
        <v>44</v>
      </c>
      <c r="L414">
        <v>0</v>
      </c>
      <c r="M414">
        <v>133342.79456584499</v>
      </c>
      <c r="N414">
        <v>2222.38</v>
      </c>
      <c r="O414" t="s">
        <v>26</v>
      </c>
      <c r="P414">
        <v>1</v>
      </c>
      <c r="Q414">
        <v>29</v>
      </c>
      <c r="R414" t="s">
        <v>27</v>
      </c>
      <c r="S414">
        <v>8</v>
      </c>
      <c r="T414" t="s">
        <v>28</v>
      </c>
      <c r="U414" t="s">
        <v>29</v>
      </c>
    </row>
    <row r="415" spans="1:21" x14ac:dyDescent="0.25">
      <c r="A415" t="s">
        <v>868</v>
      </c>
      <c r="B415">
        <v>29</v>
      </c>
      <c r="C415" t="s">
        <v>22</v>
      </c>
      <c r="D415" t="s">
        <v>23</v>
      </c>
      <c r="E415">
        <v>24686</v>
      </c>
      <c r="F415">
        <v>2</v>
      </c>
      <c r="G415" t="s">
        <v>869</v>
      </c>
      <c r="H415">
        <v>412441</v>
      </c>
      <c r="I415">
        <v>48</v>
      </c>
      <c r="J415">
        <v>10.35</v>
      </c>
      <c r="K415" t="s">
        <v>44</v>
      </c>
      <c r="L415">
        <v>0</v>
      </c>
      <c r="M415">
        <v>53266.847536122303</v>
      </c>
      <c r="N415">
        <v>1109.73</v>
      </c>
      <c r="O415" t="s">
        <v>26</v>
      </c>
      <c r="P415">
        <v>3</v>
      </c>
      <c r="Q415">
        <v>139</v>
      </c>
      <c r="R415" t="s">
        <v>27</v>
      </c>
      <c r="S415">
        <v>9</v>
      </c>
      <c r="T415" t="s">
        <v>38</v>
      </c>
      <c r="U415" t="s">
        <v>29</v>
      </c>
    </row>
    <row r="416" spans="1:21" x14ac:dyDescent="0.25">
      <c r="A416" t="s">
        <v>870</v>
      </c>
      <c r="B416">
        <v>32</v>
      </c>
      <c r="C416" t="s">
        <v>22</v>
      </c>
      <c r="D416" t="s">
        <v>49</v>
      </c>
      <c r="E416">
        <v>68363</v>
      </c>
      <c r="F416">
        <v>0</v>
      </c>
      <c r="G416" t="s">
        <v>871</v>
      </c>
      <c r="H416">
        <v>1885877</v>
      </c>
      <c r="I416">
        <v>72</v>
      </c>
      <c r="J416">
        <v>6.64</v>
      </c>
      <c r="K416" t="s">
        <v>44</v>
      </c>
      <c r="L416">
        <v>0</v>
      </c>
      <c r="M416">
        <v>758611.25702651998</v>
      </c>
      <c r="N416">
        <v>10536.27</v>
      </c>
      <c r="O416" t="s">
        <v>26</v>
      </c>
      <c r="P416">
        <v>1</v>
      </c>
      <c r="Q416">
        <v>57</v>
      </c>
      <c r="R416" t="s">
        <v>34</v>
      </c>
      <c r="S416">
        <v>0</v>
      </c>
      <c r="T416" t="s">
        <v>28</v>
      </c>
      <c r="U416" t="s">
        <v>29</v>
      </c>
    </row>
    <row r="417" spans="1:21" x14ac:dyDescent="0.25">
      <c r="A417" t="s">
        <v>872</v>
      </c>
      <c r="B417">
        <v>21</v>
      </c>
      <c r="C417" t="s">
        <v>31</v>
      </c>
      <c r="D417" t="s">
        <v>49</v>
      </c>
      <c r="E417">
        <v>112543</v>
      </c>
      <c r="F417">
        <v>2</v>
      </c>
      <c r="G417" t="s">
        <v>873</v>
      </c>
      <c r="H417">
        <v>933520</v>
      </c>
      <c r="I417">
        <v>36</v>
      </c>
      <c r="J417">
        <v>5.36</v>
      </c>
      <c r="K417" t="s">
        <v>44</v>
      </c>
      <c r="L417">
        <v>0</v>
      </c>
      <c r="M417">
        <v>525086.21117546805</v>
      </c>
      <c r="N417">
        <v>14585.73</v>
      </c>
      <c r="O417" t="s">
        <v>37</v>
      </c>
      <c r="P417">
        <v>0</v>
      </c>
      <c r="Q417">
        <v>0</v>
      </c>
      <c r="R417" t="s">
        <v>27</v>
      </c>
      <c r="S417">
        <v>9</v>
      </c>
      <c r="T417" t="s">
        <v>38</v>
      </c>
      <c r="U417" t="s">
        <v>29</v>
      </c>
    </row>
    <row r="418" spans="1:21" x14ac:dyDescent="0.25">
      <c r="A418" t="s">
        <v>874</v>
      </c>
      <c r="B418">
        <v>21</v>
      </c>
      <c r="C418" t="s">
        <v>22</v>
      </c>
      <c r="D418" t="s">
        <v>23</v>
      </c>
      <c r="E418">
        <v>146733</v>
      </c>
      <c r="F418">
        <v>3</v>
      </c>
      <c r="G418" t="s">
        <v>875</v>
      </c>
      <c r="H418">
        <v>1886022</v>
      </c>
      <c r="I418">
        <v>72</v>
      </c>
      <c r="J418">
        <v>13.1</v>
      </c>
      <c r="K418" t="s">
        <v>25</v>
      </c>
      <c r="L418">
        <v>1475563.10740867</v>
      </c>
      <c r="M418">
        <v>1540842.9742347</v>
      </c>
      <c r="N418">
        <v>21400.6</v>
      </c>
      <c r="O418" t="s">
        <v>26</v>
      </c>
      <c r="P418">
        <v>2</v>
      </c>
      <c r="Q418">
        <v>165</v>
      </c>
      <c r="R418" t="s">
        <v>34</v>
      </c>
      <c r="S418">
        <v>2</v>
      </c>
      <c r="T418" t="s">
        <v>41</v>
      </c>
      <c r="U418" t="s">
        <v>29</v>
      </c>
    </row>
    <row r="419" spans="1:21" x14ac:dyDescent="0.25">
      <c r="A419" t="s">
        <v>876</v>
      </c>
      <c r="B419">
        <v>54</v>
      </c>
      <c r="C419" t="s">
        <v>22</v>
      </c>
      <c r="D419" t="s">
        <v>49</v>
      </c>
      <c r="E419">
        <v>190915</v>
      </c>
      <c r="F419">
        <v>1</v>
      </c>
      <c r="G419" t="s">
        <v>877</v>
      </c>
      <c r="H419">
        <v>584391</v>
      </c>
      <c r="I419">
        <v>72</v>
      </c>
      <c r="J419">
        <v>15.49</v>
      </c>
      <c r="K419" t="s">
        <v>44</v>
      </c>
      <c r="L419">
        <v>0</v>
      </c>
      <c r="M419">
        <v>236201.138634556</v>
      </c>
      <c r="N419">
        <v>3280.57</v>
      </c>
      <c r="O419" t="s">
        <v>26</v>
      </c>
      <c r="P419">
        <v>2</v>
      </c>
      <c r="Q419">
        <v>38</v>
      </c>
      <c r="R419" t="s">
        <v>65</v>
      </c>
      <c r="S419">
        <v>0</v>
      </c>
      <c r="T419" t="s">
        <v>38</v>
      </c>
      <c r="U419" t="s">
        <v>29</v>
      </c>
    </row>
    <row r="420" spans="1:21" x14ac:dyDescent="0.25">
      <c r="A420" t="s">
        <v>878</v>
      </c>
      <c r="B420">
        <v>52</v>
      </c>
      <c r="C420" t="s">
        <v>31</v>
      </c>
      <c r="D420" t="s">
        <v>58</v>
      </c>
      <c r="E420">
        <v>110673</v>
      </c>
      <c r="F420">
        <v>2</v>
      </c>
      <c r="G420" t="s">
        <v>879</v>
      </c>
      <c r="H420">
        <v>1574314</v>
      </c>
      <c r="I420">
        <v>60</v>
      </c>
      <c r="J420">
        <v>15.95</v>
      </c>
      <c r="K420" t="s">
        <v>44</v>
      </c>
      <c r="L420">
        <v>0</v>
      </c>
      <c r="M420">
        <v>1157027.9404329101</v>
      </c>
      <c r="N420">
        <v>19283.8</v>
      </c>
      <c r="O420" t="s">
        <v>26</v>
      </c>
      <c r="P420">
        <v>0</v>
      </c>
      <c r="Q420">
        <v>0</v>
      </c>
      <c r="R420" t="s">
        <v>34</v>
      </c>
      <c r="S420">
        <v>1</v>
      </c>
      <c r="T420" t="s">
        <v>38</v>
      </c>
      <c r="U420" t="s">
        <v>29</v>
      </c>
    </row>
    <row r="421" spans="1:21" x14ac:dyDescent="0.25">
      <c r="A421" t="s">
        <v>880</v>
      </c>
      <c r="B421">
        <v>45</v>
      </c>
      <c r="C421" t="s">
        <v>31</v>
      </c>
      <c r="D421" t="s">
        <v>23</v>
      </c>
      <c r="E421">
        <v>207035</v>
      </c>
      <c r="F421">
        <v>2</v>
      </c>
      <c r="G421" t="s">
        <v>881</v>
      </c>
      <c r="H421">
        <v>1995325</v>
      </c>
      <c r="I421">
        <v>36</v>
      </c>
      <c r="J421">
        <v>11.28</v>
      </c>
      <c r="K421" t="s">
        <v>25</v>
      </c>
      <c r="L421">
        <v>1159191.51351504</v>
      </c>
      <c r="M421">
        <v>536251.59781083697</v>
      </c>
      <c r="N421">
        <v>14895.88</v>
      </c>
      <c r="O421" t="s">
        <v>37</v>
      </c>
      <c r="P421">
        <v>1</v>
      </c>
      <c r="Q421">
        <v>68</v>
      </c>
      <c r="R421" t="s">
        <v>34</v>
      </c>
      <c r="S421">
        <v>2</v>
      </c>
      <c r="T421" t="s">
        <v>41</v>
      </c>
      <c r="U421" t="s">
        <v>29</v>
      </c>
    </row>
    <row r="422" spans="1:21" x14ac:dyDescent="0.25">
      <c r="A422" t="s">
        <v>882</v>
      </c>
      <c r="B422">
        <v>60</v>
      </c>
      <c r="C422" t="s">
        <v>22</v>
      </c>
      <c r="D422" t="s">
        <v>49</v>
      </c>
      <c r="E422">
        <v>57828</v>
      </c>
      <c r="F422">
        <v>0</v>
      </c>
      <c r="G422" t="s">
        <v>883</v>
      </c>
      <c r="H422">
        <v>476674</v>
      </c>
      <c r="I422">
        <v>24</v>
      </c>
      <c r="J422">
        <v>15.11</v>
      </c>
      <c r="K422" t="s">
        <v>64</v>
      </c>
      <c r="L422">
        <v>656196.01937897305</v>
      </c>
      <c r="M422">
        <v>369679.091893045</v>
      </c>
      <c r="N422">
        <v>15403.3</v>
      </c>
      <c r="O422" t="s">
        <v>26</v>
      </c>
      <c r="P422">
        <v>2</v>
      </c>
      <c r="Q422">
        <v>36</v>
      </c>
      <c r="R422" t="s">
        <v>34</v>
      </c>
      <c r="S422">
        <v>2</v>
      </c>
      <c r="T422" t="s">
        <v>28</v>
      </c>
      <c r="U422" t="s">
        <v>29</v>
      </c>
    </row>
    <row r="423" spans="1:21" x14ac:dyDescent="0.25">
      <c r="A423" t="s">
        <v>884</v>
      </c>
      <c r="B423">
        <v>21</v>
      </c>
      <c r="C423" t="s">
        <v>31</v>
      </c>
      <c r="D423" t="s">
        <v>23</v>
      </c>
      <c r="E423">
        <v>63604</v>
      </c>
      <c r="F423">
        <v>3</v>
      </c>
      <c r="G423" t="s">
        <v>885</v>
      </c>
      <c r="H423">
        <v>1058109</v>
      </c>
      <c r="I423">
        <v>72</v>
      </c>
      <c r="J423">
        <v>13.75</v>
      </c>
      <c r="K423" t="s">
        <v>33</v>
      </c>
      <c r="L423">
        <v>1300278.19995735</v>
      </c>
      <c r="M423">
        <v>330550.01941381599</v>
      </c>
      <c r="N423">
        <v>4590.97</v>
      </c>
      <c r="O423" t="s">
        <v>68</v>
      </c>
      <c r="P423">
        <v>3</v>
      </c>
      <c r="Q423">
        <v>18</v>
      </c>
      <c r="R423" t="s">
        <v>27</v>
      </c>
      <c r="S423">
        <v>5</v>
      </c>
      <c r="T423" t="s">
        <v>38</v>
      </c>
      <c r="U423" t="s">
        <v>29</v>
      </c>
    </row>
    <row r="424" spans="1:21" x14ac:dyDescent="0.25">
      <c r="A424" t="s">
        <v>886</v>
      </c>
      <c r="B424">
        <v>36</v>
      </c>
      <c r="C424" t="s">
        <v>31</v>
      </c>
      <c r="D424" t="s">
        <v>49</v>
      </c>
      <c r="E424">
        <v>25526</v>
      </c>
      <c r="F424">
        <v>2</v>
      </c>
      <c r="G424" t="s">
        <v>887</v>
      </c>
      <c r="H424">
        <v>132409</v>
      </c>
      <c r="I424">
        <v>24</v>
      </c>
      <c r="J424">
        <v>14.42</v>
      </c>
      <c r="K424" t="s">
        <v>33</v>
      </c>
      <c r="L424">
        <v>106120.92223988</v>
      </c>
      <c r="M424">
        <v>30346.855830782501</v>
      </c>
      <c r="N424">
        <v>1264.45</v>
      </c>
      <c r="O424" t="s">
        <v>37</v>
      </c>
      <c r="P424">
        <v>1</v>
      </c>
      <c r="Q424">
        <v>15</v>
      </c>
      <c r="R424" t="s">
        <v>27</v>
      </c>
      <c r="S424">
        <v>5</v>
      </c>
      <c r="T424" t="s">
        <v>28</v>
      </c>
      <c r="U424" t="s">
        <v>29</v>
      </c>
    </row>
    <row r="425" spans="1:21" x14ac:dyDescent="0.25">
      <c r="A425" t="s">
        <v>888</v>
      </c>
      <c r="B425">
        <v>59</v>
      </c>
      <c r="C425" t="s">
        <v>22</v>
      </c>
      <c r="D425" t="s">
        <v>49</v>
      </c>
      <c r="E425">
        <v>83910</v>
      </c>
      <c r="F425">
        <v>2</v>
      </c>
      <c r="G425" t="s">
        <v>889</v>
      </c>
      <c r="H425">
        <v>1121824</v>
      </c>
      <c r="I425">
        <v>72</v>
      </c>
      <c r="J425">
        <v>11.4</v>
      </c>
      <c r="K425" t="s">
        <v>33</v>
      </c>
      <c r="L425">
        <v>1233303.0083556201</v>
      </c>
      <c r="M425">
        <v>299378.888345821</v>
      </c>
      <c r="N425">
        <v>4158.04</v>
      </c>
      <c r="O425" t="s">
        <v>26</v>
      </c>
      <c r="P425">
        <v>1</v>
      </c>
      <c r="Q425">
        <v>42</v>
      </c>
      <c r="R425" t="s">
        <v>27</v>
      </c>
      <c r="S425">
        <v>0</v>
      </c>
      <c r="T425" t="s">
        <v>41</v>
      </c>
      <c r="U425" t="s">
        <v>29</v>
      </c>
    </row>
    <row r="426" spans="1:21" x14ac:dyDescent="0.25">
      <c r="A426" t="s">
        <v>890</v>
      </c>
      <c r="B426">
        <v>25</v>
      </c>
      <c r="C426" t="s">
        <v>22</v>
      </c>
      <c r="D426" t="s">
        <v>23</v>
      </c>
      <c r="E426">
        <v>40592</v>
      </c>
      <c r="F426">
        <v>2</v>
      </c>
      <c r="G426" t="s">
        <v>891</v>
      </c>
      <c r="H426">
        <v>1580952</v>
      </c>
      <c r="I426">
        <v>48</v>
      </c>
      <c r="J426">
        <v>13.23</v>
      </c>
      <c r="K426" t="s">
        <v>44</v>
      </c>
      <c r="L426">
        <v>0</v>
      </c>
      <c r="M426">
        <v>417144.96095882403</v>
      </c>
      <c r="N426">
        <v>8690.52</v>
      </c>
      <c r="O426" t="s">
        <v>26</v>
      </c>
      <c r="P426">
        <v>0</v>
      </c>
      <c r="Q426">
        <v>0</v>
      </c>
      <c r="R426" t="s">
        <v>27</v>
      </c>
      <c r="S426">
        <v>2</v>
      </c>
      <c r="T426" t="s">
        <v>45</v>
      </c>
      <c r="U426" t="s">
        <v>29</v>
      </c>
    </row>
    <row r="427" spans="1:21" x14ac:dyDescent="0.25">
      <c r="A427" t="s">
        <v>892</v>
      </c>
      <c r="B427">
        <v>42</v>
      </c>
      <c r="C427" t="s">
        <v>22</v>
      </c>
      <c r="D427" t="s">
        <v>58</v>
      </c>
      <c r="E427">
        <v>43982</v>
      </c>
      <c r="F427">
        <v>2</v>
      </c>
      <c r="G427" t="s">
        <v>893</v>
      </c>
      <c r="H427">
        <v>748876</v>
      </c>
      <c r="I427">
        <v>36</v>
      </c>
      <c r="J427">
        <v>15.47</v>
      </c>
      <c r="K427" t="s">
        <v>33</v>
      </c>
      <c r="L427">
        <v>525159.62060299097</v>
      </c>
      <c r="M427">
        <v>420551.23149069102</v>
      </c>
      <c r="N427">
        <v>11681.98</v>
      </c>
      <c r="O427" t="s">
        <v>26</v>
      </c>
      <c r="P427">
        <v>0</v>
      </c>
      <c r="Q427">
        <v>0</v>
      </c>
      <c r="R427" t="s">
        <v>34</v>
      </c>
      <c r="S427">
        <v>1</v>
      </c>
      <c r="T427" t="s">
        <v>28</v>
      </c>
      <c r="U427" t="s">
        <v>29</v>
      </c>
    </row>
    <row r="428" spans="1:21" x14ac:dyDescent="0.25">
      <c r="A428" t="s">
        <v>894</v>
      </c>
      <c r="B428">
        <v>49</v>
      </c>
      <c r="C428" t="s">
        <v>22</v>
      </c>
      <c r="D428" t="s">
        <v>58</v>
      </c>
      <c r="E428">
        <v>15207</v>
      </c>
      <c r="F428">
        <v>1</v>
      </c>
      <c r="G428" t="s">
        <v>895</v>
      </c>
      <c r="H428">
        <v>1778106</v>
      </c>
      <c r="I428">
        <v>72</v>
      </c>
      <c r="J428">
        <v>10.17</v>
      </c>
      <c r="K428" t="s">
        <v>44</v>
      </c>
      <c r="L428">
        <v>0</v>
      </c>
      <c r="M428">
        <v>1529736.2831065201</v>
      </c>
      <c r="N428">
        <v>21246.34</v>
      </c>
      <c r="O428" t="s">
        <v>26</v>
      </c>
      <c r="P428">
        <v>1</v>
      </c>
      <c r="Q428">
        <v>78</v>
      </c>
      <c r="R428" t="s">
        <v>65</v>
      </c>
      <c r="S428">
        <v>9</v>
      </c>
      <c r="T428" t="s">
        <v>28</v>
      </c>
      <c r="U428" t="s">
        <v>79</v>
      </c>
    </row>
    <row r="429" spans="1:21" x14ac:dyDescent="0.25">
      <c r="A429" t="s">
        <v>896</v>
      </c>
      <c r="B429">
        <v>23</v>
      </c>
      <c r="C429" t="s">
        <v>31</v>
      </c>
      <c r="D429" t="s">
        <v>49</v>
      </c>
      <c r="E429">
        <v>247041</v>
      </c>
      <c r="F429">
        <v>3</v>
      </c>
      <c r="G429" t="s">
        <v>897</v>
      </c>
      <c r="H429">
        <v>1106600</v>
      </c>
      <c r="I429">
        <v>48</v>
      </c>
      <c r="J429">
        <v>15.48</v>
      </c>
      <c r="K429" t="s">
        <v>25</v>
      </c>
      <c r="L429">
        <v>1538435.8456792</v>
      </c>
      <c r="M429">
        <v>189941.88037991599</v>
      </c>
      <c r="N429">
        <v>3957.12</v>
      </c>
      <c r="O429" t="s">
        <v>37</v>
      </c>
      <c r="P429">
        <v>3</v>
      </c>
      <c r="Q429">
        <v>152</v>
      </c>
      <c r="R429" t="s">
        <v>34</v>
      </c>
      <c r="S429">
        <v>3</v>
      </c>
      <c r="T429" t="s">
        <v>45</v>
      </c>
      <c r="U429" t="s">
        <v>29</v>
      </c>
    </row>
    <row r="430" spans="1:21" x14ac:dyDescent="0.25">
      <c r="A430" t="s">
        <v>898</v>
      </c>
      <c r="B430">
        <v>32</v>
      </c>
      <c r="C430" t="s">
        <v>31</v>
      </c>
      <c r="D430" t="s">
        <v>49</v>
      </c>
      <c r="E430">
        <v>103733</v>
      </c>
      <c r="F430">
        <v>0</v>
      </c>
      <c r="G430" t="s">
        <v>899</v>
      </c>
      <c r="H430">
        <v>525430</v>
      </c>
      <c r="I430">
        <v>48</v>
      </c>
      <c r="J430">
        <v>12.7</v>
      </c>
      <c r="K430" t="s">
        <v>25</v>
      </c>
      <c r="L430">
        <v>323090.239992649</v>
      </c>
      <c r="M430">
        <v>386853.45258339902</v>
      </c>
      <c r="N430">
        <v>8059.45</v>
      </c>
      <c r="O430" t="s">
        <v>68</v>
      </c>
      <c r="P430">
        <v>9</v>
      </c>
      <c r="Q430">
        <v>145</v>
      </c>
      <c r="R430" t="s">
        <v>27</v>
      </c>
      <c r="S430">
        <v>1</v>
      </c>
      <c r="T430" t="s">
        <v>45</v>
      </c>
      <c r="U430" t="s">
        <v>29</v>
      </c>
    </row>
    <row r="431" spans="1:21" x14ac:dyDescent="0.25">
      <c r="A431" t="s">
        <v>900</v>
      </c>
      <c r="B431">
        <v>46</v>
      </c>
      <c r="C431" t="s">
        <v>22</v>
      </c>
      <c r="D431" t="s">
        <v>49</v>
      </c>
      <c r="E431">
        <v>245008</v>
      </c>
      <c r="F431">
        <v>0</v>
      </c>
      <c r="G431" t="s">
        <v>901</v>
      </c>
      <c r="H431">
        <v>1333440</v>
      </c>
      <c r="I431">
        <v>48</v>
      </c>
      <c r="J431">
        <v>7.16</v>
      </c>
      <c r="K431" t="s">
        <v>44</v>
      </c>
      <c r="L431">
        <v>0</v>
      </c>
      <c r="M431">
        <v>918622.56884355599</v>
      </c>
      <c r="N431">
        <v>19137.97</v>
      </c>
      <c r="O431" t="s">
        <v>26</v>
      </c>
      <c r="P431">
        <v>0</v>
      </c>
      <c r="Q431">
        <v>0</v>
      </c>
      <c r="R431" t="s">
        <v>34</v>
      </c>
      <c r="S431">
        <v>1</v>
      </c>
      <c r="T431" t="s">
        <v>41</v>
      </c>
      <c r="U431" t="s">
        <v>29</v>
      </c>
    </row>
    <row r="432" spans="1:21" x14ac:dyDescent="0.25">
      <c r="A432" t="s">
        <v>902</v>
      </c>
      <c r="B432">
        <v>36</v>
      </c>
      <c r="C432" t="s">
        <v>22</v>
      </c>
      <c r="D432" t="s">
        <v>23</v>
      </c>
      <c r="E432">
        <v>139982</v>
      </c>
      <c r="F432">
        <v>1</v>
      </c>
      <c r="G432" t="s">
        <v>903</v>
      </c>
      <c r="H432">
        <v>1970955</v>
      </c>
      <c r="I432">
        <v>36</v>
      </c>
      <c r="J432">
        <v>5.32</v>
      </c>
      <c r="K432" t="s">
        <v>33</v>
      </c>
      <c r="L432">
        <v>993040.34112432797</v>
      </c>
      <c r="M432">
        <v>1744823.30549206</v>
      </c>
      <c r="N432">
        <v>48467.31</v>
      </c>
      <c r="O432" t="s">
        <v>26</v>
      </c>
      <c r="P432">
        <v>3</v>
      </c>
      <c r="Q432">
        <v>73</v>
      </c>
      <c r="R432" t="s">
        <v>27</v>
      </c>
      <c r="S432">
        <v>10</v>
      </c>
      <c r="T432" t="s">
        <v>28</v>
      </c>
      <c r="U432" t="s">
        <v>29</v>
      </c>
    </row>
    <row r="433" spans="1:21" x14ac:dyDescent="0.25">
      <c r="A433" t="s">
        <v>904</v>
      </c>
      <c r="B433">
        <v>57</v>
      </c>
      <c r="C433" t="s">
        <v>22</v>
      </c>
      <c r="D433" t="s">
        <v>49</v>
      </c>
      <c r="E433">
        <v>83619</v>
      </c>
      <c r="F433">
        <v>3</v>
      </c>
      <c r="G433" t="s">
        <v>905</v>
      </c>
      <c r="H433">
        <v>1273451</v>
      </c>
      <c r="I433">
        <v>60</v>
      </c>
      <c r="J433">
        <v>9.7200000000000006</v>
      </c>
      <c r="K433" t="s">
        <v>64</v>
      </c>
      <c r="L433">
        <v>1276008.3414191599</v>
      </c>
      <c r="M433">
        <v>407164.05956757301</v>
      </c>
      <c r="N433">
        <v>6786.07</v>
      </c>
      <c r="O433" t="s">
        <v>37</v>
      </c>
      <c r="P433">
        <v>3</v>
      </c>
      <c r="Q433">
        <v>112</v>
      </c>
      <c r="R433" t="s">
        <v>27</v>
      </c>
      <c r="S433">
        <v>0</v>
      </c>
      <c r="T433" t="s">
        <v>28</v>
      </c>
      <c r="U433" t="s">
        <v>29</v>
      </c>
    </row>
    <row r="434" spans="1:21" x14ac:dyDescent="0.25">
      <c r="A434" t="s">
        <v>906</v>
      </c>
      <c r="B434">
        <v>42</v>
      </c>
      <c r="C434" t="s">
        <v>22</v>
      </c>
      <c r="D434" t="s">
        <v>23</v>
      </c>
      <c r="E434">
        <v>175400</v>
      </c>
      <c r="F434">
        <v>2</v>
      </c>
      <c r="G434" t="s">
        <v>907</v>
      </c>
      <c r="H434">
        <v>986800</v>
      </c>
      <c r="I434">
        <v>36</v>
      </c>
      <c r="J434">
        <v>12.11</v>
      </c>
      <c r="K434" t="s">
        <v>44</v>
      </c>
      <c r="L434">
        <v>0</v>
      </c>
      <c r="M434">
        <v>498431.56769534899</v>
      </c>
      <c r="N434">
        <v>13845.32</v>
      </c>
      <c r="O434" t="s">
        <v>37</v>
      </c>
      <c r="P434">
        <v>1</v>
      </c>
      <c r="Q434">
        <v>31</v>
      </c>
      <c r="R434" t="s">
        <v>27</v>
      </c>
      <c r="S434">
        <v>1</v>
      </c>
      <c r="T434" t="s">
        <v>41</v>
      </c>
      <c r="U434" t="s">
        <v>29</v>
      </c>
    </row>
    <row r="435" spans="1:21" x14ac:dyDescent="0.25">
      <c r="A435" t="s">
        <v>908</v>
      </c>
      <c r="B435">
        <v>49</v>
      </c>
      <c r="C435" t="s">
        <v>31</v>
      </c>
      <c r="D435" t="s">
        <v>23</v>
      </c>
      <c r="E435">
        <v>61479</v>
      </c>
      <c r="F435">
        <v>1</v>
      </c>
      <c r="G435" t="s">
        <v>909</v>
      </c>
      <c r="H435">
        <v>1452549</v>
      </c>
      <c r="I435">
        <v>72</v>
      </c>
      <c r="J435">
        <v>15.92</v>
      </c>
      <c r="K435" t="s">
        <v>33</v>
      </c>
      <c r="L435">
        <v>1573296.2368286401</v>
      </c>
      <c r="M435">
        <v>1355583.5642285</v>
      </c>
      <c r="N435">
        <v>18827.55</v>
      </c>
      <c r="O435" t="s">
        <v>26</v>
      </c>
      <c r="P435">
        <v>3</v>
      </c>
      <c r="Q435">
        <v>119</v>
      </c>
      <c r="R435" t="s">
        <v>34</v>
      </c>
      <c r="S435">
        <v>1</v>
      </c>
      <c r="T435" t="s">
        <v>28</v>
      </c>
      <c r="U435" t="s">
        <v>29</v>
      </c>
    </row>
    <row r="436" spans="1:21" x14ac:dyDescent="0.25">
      <c r="A436" t="s">
        <v>910</v>
      </c>
      <c r="B436">
        <v>34</v>
      </c>
      <c r="C436" t="s">
        <v>22</v>
      </c>
      <c r="D436" t="s">
        <v>49</v>
      </c>
      <c r="E436">
        <v>166175</v>
      </c>
      <c r="F436">
        <v>3</v>
      </c>
      <c r="G436" t="s">
        <v>911</v>
      </c>
      <c r="H436">
        <v>1977716</v>
      </c>
      <c r="I436">
        <v>72</v>
      </c>
      <c r="J436">
        <v>6.66</v>
      </c>
      <c r="K436" t="s">
        <v>44</v>
      </c>
      <c r="L436">
        <v>0</v>
      </c>
      <c r="M436">
        <v>1372523.2456050401</v>
      </c>
      <c r="N436">
        <v>19062.82</v>
      </c>
      <c r="O436" t="s">
        <v>26</v>
      </c>
      <c r="P436">
        <v>3</v>
      </c>
      <c r="Q436">
        <v>176</v>
      </c>
      <c r="R436" t="s">
        <v>34</v>
      </c>
      <c r="S436">
        <v>3</v>
      </c>
      <c r="T436" t="s">
        <v>38</v>
      </c>
      <c r="U436" t="s">
        <v>29</v>
      </c>
    </row>
    <row r="437" spans="1:21" x14ac:dyDescent="0.25">
      <c r="A437" t="s">
        <v>912</v>
      </c>
      <c r="B437">
        <v>48</v>
      </c>
      <c r="C437" t="s">
        <v>22</v>
      </c>
      <c r="D437" t="s">
        <v>23</v>
      </c>
      <c r="E437">
        <v>185963</v>
      </c>
      <c r="F437">
        <v>2</v>
      </c>
      <c r="G437" t="s">
        <v>913</v>
      </c>
      <c r="H437">
        <v>1971672</v>
      </c>
      <c r="I437">
        <v>36</v>
      </c>
      <c r="J437">
        <v>15.4</v>
      </c>
      <c r="K437" t="s">
        <v>25</v>
      </c>
      <c r="L437">
        <v>2127365.7109982702</v>
      </c>
      <c r="M437">
        <v>887038.61471128603</v>
      </c>
      <c r="N437">
        <v>24639.96</v>
      </c>
      <c r="O437" t="s">
        <v>26</v>
      </c>
      <c r="P437">
        <v>3</v>
      </c>
      <c r="Q437">
        <v>77</v>
      </c>
      <c r="R437" t="s">
        <v>34</v>
      </c>
      <c r="S437">
        <v>3</v>
      </c>
      <c r="T437" t="s">
        <v>38</v>
      </c>
      <c r="U437" t="s">
        <v>29</v>
      </c>
    </row>
    <row r="438" spans="1:21" x14ac:dyDescent="0.25">
      <c r="A438" t="s">
        <v>914</v>
      </c>
      <c r="B438">
        <v>25</v>
      </c>
      <c r="C438" t="s">
        <v>22</v>
      </c>
      <c r="D438" t="s">
        <v>23</v>
      </c>
      <c r="E438">
        <v>156826</v>
      </c>
      <c r="F438">
        <v>1</v>
      </c>
      <c r="G438" t="s">
        <v>915</v>
      </c>
      <c r="H438">
        <v>1510049</v>
      </c>
      <c r="I438">
        <v>60</v>
      </c>
      <c r="J438">
        <v>16.22</v>
      </c>
      <c r="K438" t="s">
        <v>25</v>
      </c>
      <c r="L438">
        <v>837340.181515562</v>
      </c>
      <c r="M438">
        <v>329600.12358639401</v>
      </c>
      <c r="N438">
        <v>5493.34</v>
      </c>
      <c r="O438" t="s">
        <v>37</v>
      </c>
      <c r="P438">
        <v>1</v>
      </c>
      <c r="Q438">
        <v>179</v>
      </c>
      <c r="R438" t="s">
        <v>27</v>
      </c>
      <c r="S438">
        <v>7</v>
      </c>
      <c r="T438" t="s">
        <v>38</v>
      </c>
      <c r="U438" t="s">
        <v>29</v>
      </c>
    </row>
    <row r="439" spans="1:21" x14ac:dyDescent="0.25">
      <c r="A439" t="s">
        <v>916</v>
      </c>
      <c r="B439">
        <v>50</v>
      </c>
      <c r="C439" t="s">
        <v>31</v>
      </c>
      <c r="D439" t="s">
        <v>23</v>
      </c>
      <c r="E439">
        <v>246055</v>
      </c>
      <c r="F439">
        <v>3</v>
      </c>
      <c r="G439" t="s">
        <v>917</v>
      </c>
      <c r="H439">
        <v>1242503</v>
      </c>
      <c r="I439">
        <v>48</v>
      </c>
      <c r="J439">
        <v>6.96</v>
      </c>
      <c r="K439" t="s">
        <v>25</v>
      </c>
      <c r="L439">
        <v>1011451.87222757</v>
      </c>
      <c r="M439">
        <v>417774.868794357</v>
      </c>
      <c r="N439">
        <v>8703.64</v>
      </c>
      <c r="O439" t="s">
        <v>26</v>
      </c>
      <c r="P439">
        <v>1</v>
      </c>
      <c r="Q439">
        <v>103</v>
      </c>
      <c r="R439" t="s">
        <v>34</v>
      </c>
      <c r="S439">
        <v>2</v>
      </c>
      <c r="T439" t="s">
        <v>28</v>
      </c>
      <c r="U439" t="s">
        <v>29</v>
      </c>
    </row>
    <row r="440" spans="1:21" x14ac:dyDescent="0.25">
      <c r="A440" t="s">
        <v>918</v>
      </c>
      <c r="B440">
        <v>25</v>
      </c>
      <c r="C440" t="s">
        <v>22</v>
      </c>
      <c r="D440" t="s">
        <v>23</v>
      </c>
      <c r="E440">
        <v>96437</v>
      </c>
      <c r="F440">
        <v>0</v>
      </c>
      <c r="G440" t="s">
        <v>919</v>
      </c>
      <c r="H440">
        <v>1183754</v>
      </c>
      <c r="I440">
        <v>36</v>
      </c>
      <c r="J440">
        <v>16.07</v>
      </c>
      <c r="K440" t="s">
        <v>64</v>
      </c>
      <c r="L440">
        <v>1182805.75011921</v>
      </c>
      <c r="M440">
        <v>737589.93170597102</v>
      </c>
      <c r="N440">
        <v>20488.61</v>
      </c>
      <c r="O440" t="s">
        <v>26</v>
      </c>
      <c r="P440">
        <v>0</v>
      </c>
      <c r="Q440">
        <v>0</v>
      </c>
      <c r="R440" t="s">
        <v>65</v>
      </c>
      <c r="S440">
        <v>2</v>
      </c>
      <c r="T440" t="s">
        <v>38</v>
      </c>
      <c r="U440" t="s">
        <v>29</v>
      </c>
    </row>
    <row r="441" spans="1:21" x14ac:dyDescent="0.25">
      <c r="A441" t="s">
        <v>920</v>
      </c>
      <c r="B441">
        <v>32</v>
      </c>
      <c r="C441" t="s">
        <v>31</v>
      </c>
      <c r="D441" t="s">
        <v>49</v>
      </c>
      <c r="E441">
        <v>113540</v>
      </c>
      <c r="F441">
        <v>0</v>
      </c>
      <c r="G441" t="s">
        <v>921</v>
      </c>
      <c r="H441">
        <v>1097380</v>
      </c>
      <c r="I441">
        <v>72</v>
      </c>
      <c r="J441">
        <v>17.89</v>
      </c>
      <c r="K441" t="s">
        <v>33</v>
      </c>
      <c r="L441">
        <v>786359.66672362201</v>
      </c>
      <c r="M441">
        <v>819030.82806456101</v>
      </c>
      <c r="N441">
        <v>11375.43</v>
      </c>
      <c r="O441" t="s">
        <v>68</v>
      </c>
      <c r="P441">
        <v>12</v>
      </c>
      <c r="Q441">
        <v>69</v>
      </c>
      <c r="R441" t="s">
        <v>34</v>
      </c>
      <c r="S441">
        <v>2</v>
      </c>
      <c r="T441" t="s">
        <v>38</v>
      </c>
      <c r="U441" t="s">
        <v>29</v>
      </c>
    </row>
    <row r="442" spans="1:21" x14ac:dyDescent="0.25">
      <c r="A442" t="s">
        <v>922</v>
      </c>
      <c r="B442">
        <v>36</v>
      </c>
      <c r="C442" t="s">
        <v>22</v>
      </c>
      <c r="D442" t="s">
        <v>23</v>
      </c>
      <c r="E442">
        <v>87982</v>
      </c>
      <c r="F442">
        <v>3</v>
      </c>
      <c r="G442" t="s">
        <v>923</v>
      </c>
      <c r="H442">
        <v>937553</v>
      </c>
      <c r="I442">
        <v>12</v>
      </c>
      <c r="J442">
        <v>14.45</v>
      </c>
      <c r="K442" t="s">
        <v>33</v>
      </c>
      <c r="L442">
        <v>1286909.5168149599</v>
      </c>
      <c r="M442">
        <v>198742.20195528801</v>
      </c>
      <c r="N442">
        <v>16561.849999999999</v>
      </c>
      <c r="O442" t="s">
        <v>37</v>
      </c>
      <c r="P442">
        <v>0</v>
      </c>
      <c r="Q442">
        <v>0</v>
      </c>
      <c r="R442" t="s">
        <v>34</v>
      </c>
      <c r="S442">
        <v>2</v>
      </c>
      <c r="T442" t="s">
        <v>41</v>
      </c>
      <c r="U442" t="s">
        <v>29</v>
      </c>
    </row>
    <row r="443" spans="1:21" x14ac:dyDescent="0.25">
      <c r="A443" t="s">
        <v>924</v>
      </c>
      <c r="B443">
        <v>46</v>
      </c>
      <c r="C443" t="s">
        <v>31</v>
      </c>
      <c r="D443" t="s">
        <v>49</v>
      </c>
      <c r="E443">
        <v>117747</v>
      </c>
      <c r="F443">
        <v>0</v>
      </c>
      <c r="G443" t="s">
        <v>925</v>
      </c>
      <c r="H443">
        <v>1615116</v>
      </c>
      <c r="I443">
        <v>36</v>
      </c>
      <c r="J443">
        <v>15.2</v>
      </c>
      <c r="K443" t="s">
        <v>44</v>
      </c>
      <c r="L443">
        <v>0</v>
      </c>
      <c r="M443">
        <v>1033088.81542798</v>
      </c>
      <c r="N443">
        <v>28696.91</v>
      </c>
      <c r="O443" t="s">
        <v>37</v>
      </c>
      <c r="P443">
        <v>3</v>
      </c>
      <c r="Q443">
        <v>128</v>
      </c>
      <c r="R443" t="s">
        <v>27</v>
      </c>
      <c r="S443">
        <v>5</v>
      </c>
      <c r="T443" t="s">
        <v>41</v>
      </c>
      <c r="U443" t="s">
        <v>29</v>
      </c>
    </row>
    <row r="444" spans="1:21" x14ac:dyDescent="0.25">
      <c r="A444" t="s">
        <v>926</v>
      </c>
      <c r="B444">
        <v>46</v>
      </c>
      <c r="C444" t="s">
        <v>31</v>
      </c>
      <c r="D444" t="s">
        <v>23</v>
      </c>
      <c r="E444">
        <v>201994</v>
      </c>
      <c r="F444">
        <v>3</v>
      </c>
      <c r="G444" t="s">
        <v>927</v>
      </c>
      <c r="H444">
        <v>856457</v>
      </c>
      <c r="I444">
        <v>48</v>
      </c>
      <c r="J444">
        <v>17.93</v>
      </c>
      <c r="K444" t="s">
        <v>64</v>
      </c>
      <c r="L444">
        <v>502833.86072427098</v>
      </c>
      <c r="M444">
        <v>509862.68469835998</v>
      </c>
      <c r="N444">
        <v>10622.14</v>
      </c>
      <c r="O444" t="s">
        <v>26</v>
      </c>
      <c r="P444">
        <v>1</v>
      </c>
      <c r="Q444">
        <v>138</v>
      </c>
      <c r="R444" t="s">
        <v>34</v>
      </c>
      <c r="S444">
        <v>0</v>
      </c>
      <c r="T444" t="s">
        <v>45</v>
      </c>
      <c r="U444" t="s">
        <v>29</v>
      </c>
    </row>
    <row r="445" spans="1:21" x14ac:dyDescent="0.25">
      <c r="A445" t="s">
        <v>928</v>
      </c>
      <c r="B445">
        <v>41</v>
      </c>
      <c r="C445" t="s">
        <v>22</v>
      </c>
      <c r="D445" t="s">
        <v>49</v>
      </c>
      <c r="E445">
        <v>63231</v>
      </c>
      <c r="F445">
        <v>2</v>
      </c>
      <c r="G445" t="s">
        <v>929</v>
      </c>
      <c r="H445">
        <v>1496250</v>
      </c>
      <c r="I445">
        <v>48</v>
      </c>
      <c r="J445">
        <v>12.87</v>
      </c>
      <c r="K445" t="s">
        <v>44</v>
      </c>
      <c r="L445">
        <v>0</v>
      </c>
      <c r="M445">
        <v>841730.25339987502</v>
      </c>
      <c r="N445">
        <v>17536.05</v>
      </c>
      <c r="O445" t="s">
        <v>26</v>
      </c>
      <c r="P445">
        <v>1</v>
      </c>
      <c r="Q445">
        <v>126</v>
      </c>
      <c r="R445" t="s">
        <v>65</v>
      </c>
      <c r="S445">
        <v>0</v>
      </c>
      <c r="T445" t="s">
        <v>45</v>
      </c>
      <c r="U445" t="s">
        <v>29</v>
      </c>
    </row>
    <row r="446" spans="1:21" x14ac:dyDescent="0.25">
      <c r="A446" t="s">
        <v>930</v>
      </c>
      <c r="B446">
        <v>59</v>
      </c>
      <c r="C446" t="s">
        <v>22</v>
      </c>
      <c r="D446" t="s">
        <v>23</v>
      </c>
      <c r="E446">
        <v>44301</v>
      </c>
      <c r="F446">
        <v>3</v>
      </c>
      <c r="G446" t="s">
        <v>931</v>
      </c>
      <c r="H446">
        <v>1162186</v>
      </c>
      <c r="I446">
        <v>48</v>
      </c>
      <c r="J446">
        <v>9</v>
      </c>
      <c r="K446" t="s">
        <v>33</v>
      </c>
      <c r="L446">
        <v>1147524.3747290601</v>
      </c>
      <c r="M446">
        <v>838064.88308174396</v>
      </c>
      <c r="N446">
        <v>17459.689999999999</v>
      </c>
      <c r="O446" t="s">
        <v>68</v>
      </c>
      <c r="P446">
        <v>12</v>
      </c>
      <c r="Q446">
        <v>112</v>
      </c>
      <c r="R446" t="s">
        <v>27</v>
      </c>
      <c r="S446">
        <v>2</v>
      </c>
      <c r="T446" t="s">
        <v>45</v>
      </c>
      <c r="U446" t="s">
        <v>29</v>
      </c>
    </row>
    <row r="447" spans="1:21" x14ac:dyDescent="0.25">
      <c r="A447" t="s">
        <v>932</v>
      </c>
      <c r="B447">
        <v>56</v>
      </c>
      <c r="C447" t="s">
        <v>31</v>
      </c>
      <c r="D447" t="s">
        <v>23</v>
      </c>
      <c r="E447">
        <v>237724</v>
      </c>
      <c r="F447">
        <v>2</v>
      </c>
      <c r="G447" t="s">
        <v>933</v>
      </c>
      <c r="H447">
        <v>1693707</v>
      </c>
      <c r="I447">
        <v>60</v>
      </c>
      <c r="J447">
        <v>15.89</v>
      </c>
      <c r="K447" t="s">
        <v>44</v>
      </c>
      <c r="L447">
        <v>0</v>
      </c>
      <c r="M447">
        <v>1445925.51720602</v>
      </c>
      <c r="N447">
        <v>24098.76</v>
      </c>
      <c r="O447" t="s">
        <v>26</v>
      </c>
      <c r="P447">
        <v>3</v>
      </c>
      <c r="Q447">
        <v>20</v>
      </c>
      <c r="R447" t="s">
        <v>34</v>
      </c>
      <c r="S447">
        <v>1</v>
      </c>
      <c r="T447" t="s">
        <v>45</v>
      </c>
      <c r="U447" t="s">
        <v>29</v>
      </c>
    </row>
    <row r="448" spans="1:21" x14ac:dyDescent="0.25">
      <c r="A448" t="s">
        <v>934</v>
      </c>
      <c r="B448">
        <v>53</v>
      </c>
      <c r="C448" t="s">
        <v>31</v>
      </c>
      <c r="D448" t="s">
        <v>49</v>
      </c>
      <c r="E448">
        <v>208783</v>
      </c>
      <c r="F448">
        <v>1</v>
      </c>
      <c r="G448" t="s">
        <v>935</v>
      </c>
      <c r="H448">
        <v>681525</v>
      </c>
      <c r="I448">
        <v>48</v>
      </c>
      <c r="J448">
        <v>12.99</v>
      </c>
      <c r="K448" t="s">
        <v>44</v>
      </c>
      <c r="L448">
        <v>0</v>
      </c>
      <c r="M448">
        <v>266265.48944440403</v>
      </c>
      <c r="N448">
        <v>5547.2</v>
      </c>
      <c r="O448" t="s">
        <v>26</v>
      </c>
      <c r="P448">
        <v>0</v>
      </c>
      <c r="Q448">
        <v>0</v>
      </c>
      <c r="R448" t="s">
        <v>34</v>
      </c>
      <c r="S448">
        <v>0</v>
      </c>
      <c r="T448" t="s">
        <v>41</v>
      </c>
      <c r="U448" t="s">
        <v>29</v>
      </c>
    </row>
    <row r="449" spans="1:21" x14ac:dyDescent="0.25">
      <c r="A449" t="s">
        <v>936</v>
      </c>
      <c r="B449">
        <v>50</v>
      </c>
      <c r="C449" t="s">
        <v>22</v>
      </c>
      <c r="D449" t="s">
        <v>49</v>
      </c>
      <c r="E449">
        <v>187395</v>
      </c>
      <c r="F449">
        <v>3</v>
      </c>
      <c r="G449" t="s">
        <v>937</v>
      </c>
      <c r="H449">
        <v>1575753</v>
      </c>
      <c r="I449">
        <v>48</v>
      </c>
      <c r="J449">
        <v>12.56</v>
      </c>
      <c r="K449" t="s">
        <v>25</v>
      </c>
      <c r="L449">
        <v>1877377.42687452</v>
      </c>
      <c r="M449">
        <v>1418352.5630435201</v>
      </c>
      <c r="N449">
        <v>29549.01</v>
      </c>
      <c r="O449" t="s">
        <v>26</v>
      </c>
      <c r="P449">
        <v>1</v>
      </c>
      <c r="Q449">
        <v>153</v>
      </c>
      <c r="R449" t="s">
        <v>34</v>
      </c>
      <c r="S449">
        <v>0</v>
      </c>
      <c r="T449" t="s">
        <v>41</v>
      </c>
      <c r="U449" t="s">
        <v>29</v>
      </c>
    </row>
    <row r="450" spans="1:21" x14ac:dyDescent="0.25">
      <c r="A450" t="s">
        <v>938</v>
      </c>
      <c r="B450">
        <v>57</v>
      </c>
      <c r="C450" t="s">
        <v>22</v>
      </c>
      <c r="D450" t="s">
        <v>23</v>
      </c>
      <c r="E450">
        <v>33752</v>
      </c>
      <c r="F450">
        <v>1</v>
      </c>
      <c r="G450" t="s">
        <v>939</v>
      </c>
      <c r="H450">
        <v>1803767</v>
      </c>
      <c r="I450">
        <v>12</v>
      </c>
      <c r="J450">
        <v>8.3000000000000007</v>
      </c>
      <c r="K450" t="s">
        <v>44</v>
      </c>
      <c r="L450">
        <v>0</v>
      </c>
      <c r="M450">
        <v>441147.74857891299</v>
      </c>
      <c r="N450">
        <v>36762.31</v>
      </c>
      <c r="O450" t="s">
        <v>26</v>
      </c>
      <c r="P450">
        <v>0</v>
      </c>
      <c r="Q450">
        <v>0</v>
      </c>
      <c r="R450" t="s">
        <v>34</v>
      </c>
      <c r="S450">
        <v>2</v>
      </c>
      <c r="T450" t="s">
        <v>41</v>
      </c>
      <c r="U450" t="s">
        <v>29</v>
      </c>
    </row>
    <row r="451" spans="1:21" x14ac:dyDescent="0.25">
      <c r="A451" t="s">
        <v>940</v>
      </c>
      <c r="B451">
        <v>43</v>
      </c>
      <c r="C451" t="s">
        <v>31</v>
      </c>
      <c r="D451" t="s">
        <v>23</v>
      </c>
      <c r="E451">
        <v>243984</v>
      </c>
      <c r="F451">
        <v>0</v>
      </c>
      <c r="G451" t="s">
        <v>941</v>
      </c>
      <c r="H451">
        <v>748787</v>
      </c>
      <c r="I451">
        <v>36</v>
      </c>
      <c r="J451">
        <v>14.83</v>
      </c>
      <c r="K451" t="s">
        <v>44</v>
      </c>
      <c r="L451">
        <v>0</v>
      </c>
      <c r="M451">
        <v>191480.92192342901</v>
      </c>
      <c r="N451">
        <v>5318.91</v>
      </c>
      <c r="O451" t="s">
        <v>26</v>
      </c>
      <c r="P451">
        <v>3</v>
      </c>
      <c r="Q451">
        <v>10</v>
      </c>
      <c r="R451" t="s">
        <v>27</v>
      </c>
      <c r="S451">
        <v>7</v>
      </c>
      <c r="T451" t="s">
        <v>38</v>
      </c>
      <c r="U451" t="s">
        <v>29</v>
      </c>
    </row>
    <row r="452" spans="1:21" x14ac:dyDescent="0.25">
      <c r="A452" t="s">
        <v>942</v>
      </c>
      <c r="B452">
        <v>30</v>
      </c>
      <c r="C452" t="s">
        <v>22</v>
      </c>
      <c r="D452" t="s">
        <v>23</v>
      </c>
      <c r="E452">
        <v>228277</v>
      </c>
      <c r="F452">
        <v>2</v>
      </c>
      <c r="G452" t="s">
        <v>943</v>
      </c>
      <c r="H452">
        <v>1585601</v>
      </c>
      <c r="I452">
        <v>24</v>
      </c>
      <c r="J452">
        <v>6.06</v>
      </c>
      <c r="K452" t="s">
        <v>44</v>
      </c>
      <c r="L452">
        <v>0</v>
      </c>
      <c r="M452">
        <v>539254.74576874205</v>
      </c>
      <c r="N452">
        <v>22468.95</v>
      </c>
      <c r="O452" t="s">
        <v>37</v>
      </c>
      <c r="P452">
        <v>1</v>
      </c>
      <c r="Q452">
        <v>110</v>
      </c>
      <c r="R452" t="s">
        <v>34</v>
      </c>
      <c r="S452">
        <v>3</v>
      </c>
      <c r="T452" t="s">
        <v>38</v>
      </c>
      <c r="U452" t="s">
        <v>29</v>
      </c>
    </row>
    <row r="453" spans="1:21" x14ac:dyDescent="0.25">
      <c r="A453" t="s">
        <v>944</v>
      </c>
      <c r="B453">
        <v>25</v>
      </c>
      <c r="C453" t="s">
        <v>22</v>
      </c>
      <c r="D453" t="s">
        <v>23</v>
      </c>
      <c r="E453">
        <v>113452</v>
      </c>
      <c r="F453">
        <v>3</v>
      </c>
      <c r="G453" t="s">
        <v>945</v>
      </c>
      <c r="H453">
        <v>1753163</v>
      </c>
      <c r="I453">
        <v>36</v>
      </c>
      <c r="J453">
        <v>17.02</v>
      </c>
      <c r="K453" t="s">
        <v>44</v>
      </c>
      <c r="L453">
        <v>0</v>
      </c>
      <c r="M453">
        <v>363917.688062987</v>
      </c>
      <c r="N453">
        <v>10108.82</v>
      </c>
      <c r="O453" t="s">
        <v>68</v>
      </c>
      <c r="P453">
        <v>12</v>
      </c>
      <c r="Q453">
        <v>82</v>
      </c>
      <c r="R453" t="s">
        <v>34</v>
      </c>
      <c r="S453">
        <v>3</v>
      </c>
      <c r="T453" t="s">
        <v>45</v>
      </c>
      <c r="U453" t="s">
        <v>29</v>
      </c>
    </row>
    <row r="454" spans="1:21" x14ac:dyDescent="0.25">
      <c r="A454" t="s">
        <v>946</v>
      </c>
      <c r="B454">
        <v>56</v>
      </c>
      <c r="C454" t="s">
        <v>31</v>
      </c>
      <c r="D454" t="s">
        <v>49</v>
      </c>
      <c r="E454">
        <v>159467</v>
      </c>
      <c r="F454">
        <v>1</v>
      </c>
      <c r="G454" t="s">
        <v>947</v>
      </c>
      <c r="H454">
        <v>1530298</v>
      </c>
      <c r="I454">
        <v>48</v>
      </c>
      <c r="J454">
        <v>9.24</v>
      </c>
      <c r="K454" t="s">
        <v>44</v>
      </c>
      <c r="L454">
        <v>0</v>
      </c>
      <c r="M454">
        <v>470241.14400438202</v>
      </c>
      <c r="N454">
        <v>9796.69</v>
      </c>
      <c r="O454" t="s">
        <v>68</v>
      </c>
      <c r="P454">
        <v>7</v>
      </c>
      <c r="Q454">
        <v>154</v>
      </c>
      <c r="R454" t="s">
        <v>34</v>
      </c>
      <c r="S454">
        <v>3</v>
      </c>
      <c r="T454" t="s">
        <v>38</v>
      </c>
      <c r="U454" t="s">
        <v>29</v>
      </c>
    </row>
    <row r="455" spans="1:21" x14ac:dyDescent="0.25">
      <c r="A455" t="s">
        <v>948</v>
      </c>
      <c r="B455">
        <v>54</v>
      </c>
      <c r="C455" t="s">
        <v>22</v>
      </c>
      <c r="D455" t="s">
        <v>23</v>
      </c>
      <c r="E455">
        <v>232029</v>
      </c>
      <c r="F455">
        <v>2</v>
      </c>
      <c r="G455" t="s">
        <v>949</v>
      </c>
      <c r="H455">
        <v>1104244</v>
      </c>
      <c r="I455">
        <v>24</v>
      </c>
      <c r="J455">
        <v>6.66</v>
      </c>
      <c r="K455" t="s">
        <v>44</v>
      </c>
      <c r="L455">
        <v>0</v>
      </c>
      <c r="M455">
        <v>216178.49564340001</v>
      </c>
      <c r="N455">
        <v>9007.44</v>
      </c>
      <c r="O455" t="s">
        <v>26</v>
      </c>
      <c r="P455">
        <v>2</v>
      </c>
      <c r="Q455">
        <v>64</v>
      </c>
      <c r="R455" t="s">
        <v>34</v>
      </c>
      <c r="S455">
        <v>3</v>
      </c>
      <c r="T455" t="s">
        <v>28</v>
      </c>
      <c r="U455" t="s">
        <v>29</v>
      </c>
    </row>
    <row r="456" spans="1:21" x14ac:dyDescent="0.25">
      <c r="A456" t="s">
        <v>950</v>
      </c>
      <c r="B456">
        <v>51</v>
      </c>
      <c r="C456" t="s">
        <v>22</v>
      </c>
      <c r="D456" t="s">
        <v>23</v>
      </c>
      <c r="E456">
        <v>136237</v>
      </c>
      <c r="F456">
        <v>2</v>
      </c>
      <c r="G456" t="s">
        <v>951</v>
      </c>
      <c r="H456">
        <v>1321118</v>
      </c>
      <c r="I456">
        <v>36</v>
      </c>
      <c r="J456">
        <v>10.75</v>
      </c>
      <c r="K456" t="s">
        <v>25</v>
      </c>
      <c r="L456">
        <v>1006363.08990747</v>
      </c>
      <c r="M456">
        <v>1109180.5186606101</v>
      </c>
      <c r="N456">
        <v>30810.57</v>
      </c>
      <c r="O456" t="s">
        <v>26</v>
      </c>
      <c r="P456">
        <v>3</v>
      </c>
      <c r="Q456">
        <v>6</v>
      </c>
      <c r="R456" t="s">
        <v>34</v>
      </c>
      <c r="S456">
        <v>2</v>
      </c>
      <c r="T456" t="s">
        <v>41</v>
      </c>
      <c r="U456" t="s">
        <v>29</v>
      </c>
    </row>
    <row r="457" spans="1:21" x14ac:dyDescent="0.25">
      <c r="A457" t="s">
        <v>952</v>
      </c>
      <c r="B457">
        <v>30</v>
      </c>
      <c r="C457" t="s">
        <v>22</v>
      </c>
      <c r="D457" t="s">
        <v>23</v>
      </c>
      <c r="E457">
        <v>71273</v>
      </c>
      <c r="F457">
        <v>0</v>
      </c>
      <c r="G457" t="s">
        <v>953</v>
      </c>
      <c r="H457">
        <v>228267</v>
      </c>
      <c r="I457">
        <v>24</v>
      </c>
      <c r="J457">
        <v>5.55</v>
      </c>
      <c r="K457" t="s">
        <v>44</v>
      </c>
      <c r="L457">
        <v>0</v>
      </c>
      <c r="M457">
        <v>51376.531383885696</v>
      </c>
      <c r="N457">
        <v>2140.69</v>
      </c>
      <c r="O457" t="s">
        <v>26</v>
      </c>
      <c r="P457">
        <v>3</v>
      </c>
      <c r="Q457">
        <v>23</v>
      </c>
      <c r="R457" t="s">
        <v>27</v>
      </c>
      <c r="S457">
        <v>3</v>
      </c>
      <c r="T457" t="s">
        <v>45</v>
      </c>
      <c r="U457" t="s">
        <v>29</v>
      </c>
    </row>
    <row r="458" spans="1:21" x14ac:dyDescent="0.25">
      <c r="A458" t="s">
        <v>954</v>
      </c>
      <c r="B458">
        <v>39</v>
      </c>
      <c r="C458" t="s">
        <v>22</v>
      </c>
      <c r="D458" t="s">
        <v>23</v>
      </c>
      <c r="E458">
        <v>106878</v>
      </c>
      <c r="F458">
        <v>0</v>
      </c>
      <c r="G458" t="s">
        <v>955</v>
      </c>
      <c r="H458">
        <v>1958241</v>
      </c>
      <c r="I458">
        <v>72</v>
      </c>
      <c r="J458">
        <v>13.9</v>
      </c>
      <c r="K458" t="s">
        <v>25</v>
      </c>
      <c r="L458">
        <v>2201534.3050587601</v>
      </c>
      <c r="M458">
        <v>1512873.94477221</v>
      </c>
      <c r="N458">
        <v>21012.14</v>
      </c>
      <c r="O458" t="s">
        <v>37</v>
      </c>
      <c r="P458">
        <v>3</v>
      </c>
      <c r="Q458">
        <v>58</v>
      </c>
      <c r="R458" t="s">
        <v>27</v>
      </c>
      <c r="S458">
        <v>8</v>
      </c>
      <c r="T458" t="s">
        <v>45</v>
      </c>
      <c r="U458" t="s">
        <v>29</v>
      </c>
    </row>
    <row r="459" spans="1:21" x14ac:dyDescent="0.25">
      <c r="A459" t="s">
        <v>956</v>
      </c>
      <c r="B459">
        <v>52</v>
      </c>
      <c r="C459" t="s">
        <v>22</v>
      </c>
      <c r="D459" t="s">
        <v>23</v>
      </c>
      <c r="E459">
        <v>19895</v>
      </c>
      <c r="F459">
        <v>2</v>
      </c>
      <c r="G459" t="s">
        <v>957</v>
      </c>
      <c r="H459">
        <v>205489</v>
      </c>
      <c r="I459">
        <v>72</v>
      </c>
      <c r="J459">
        <v>16.739999999999998</v>
      </c>
      <c r="K459" t="s">
        <v>44</v>
      </c>
      <c r="L459">
        <v>0</v>
      </c>
      <c r="M459">
        <v>29410.095523278698</v>
      </c>
      <c r="N459">
        <v>408.47</v>
      </c>
      <c r="O459" t="s">
        <v>26</v>
      </c>
      <c r="P459">
        <v>1</v>
      </c>
      <c r="Q459">
        <v>172</v>
      </c>
      <c r="R459" t="s">
        <v>27</v>
      </c>
      <c r="S459">
        <v>1</v>
      </c>
      <c r="T459" t="s">
        <v>28</v>
      </c>
      <c r="U459" t="s">
        <v>29</v>
      </c>
    </row>
    <row r="460" spans="1:21" x14ac:dyDescent="0.25">
      <c r="A460" t="s">
        <v>958</v>
      </c>
      <c r="B460">
        <v>21</v>
      </c>
      <c r="C460" t="s">
        <v>31</v>
      </c>
      <c r="D460" t="s">
        <v>23</v>
      </c>
      <c r="E460">
        <v>134968</v>
      </c>
      <c r="F460">
        <v>2</v>
      </c>
      <c r="G460" t="s">
        <v>959</v>
      </c>
      <c r="H460">
        <v>394126</v>
      </c>
      <c r="I460">
        <v>48</v>
      </c>
      <c r="J460">
        <v>15.88</v>
      </c>
      <c r="K460" t="s">
        <v>64</v>
      </c>
      <c r="L460">
        <v>523945.25168501399</v>
      </c>
      <c r="M460">
        <v>375865.47034157399</v>
      </c>
      <c r="N460">
        <v>7830.53</v>
      </c>
      <c r="O460" t="s">
        <v>37</v>
      </c>
      <c r="P460">
        <v>3</v>
      </c>
      <c r="Q460">
        <v>147</v>
      </c>
      <c r="R460" t="s">
        <v>27</v>
      </c>
      <c r="S460">
        <v>5</v>
      </c>
      <c r="T460" t="s">
        <v>38</v>
      </c>
      <c r="U460" t="s">
        <v>29</v>
      </c>
    </row>
    <row r="461" spans="1:21" x14ac:dyDescent="0.25">
      <c r="A461" t="s">
        <v>960</v>
      </c>
      <c r="B461">
        <v>25</v>
      </c>
      <c r="C461" t="s">
        <v>22</v>
      </c>
      <c r="D461" t="s">
        <v>23</v>
      </c>
      <c r="E461">
        <v>130700</v>
      </c>
      <c r="F461">
        <v>3</v>
      </c>
      <c r="G461" t="s">
        <v>961</v>
      </c>
      <c r="H461">
        <v>1728997</v>
      </c>
      <c r="I461">
        <v>72</v>
      </c>
      <c r="J461">
        <v>6.66</v>
      </c>
      <c r="K461" t="s">
        <v>33</v>
      </c>
      <c r="L461">
        <v>1193590.5589284101</v>
      </c>
      <c r="M461">
        <v>1279533.9920697201</v>
      </c>
      <c r="N461">
        <v>17771.310000000001</v>
      </c>
      <c r="O461" t="s">
        <v>37</v>
      </c>
      <c r="P461">
        <v>3</v>
      </c>
      <c r="Q461">
        <v>150</v>
      </c>
      <c r="R461" t="s">
        <v>34</v>
      </c>
      <c r="S461">
        <v>3</v>
      </c>
      <c r="T461" t="s">
        <v>45</v>
      </c>
      <c r="U461" t="s">
        <v>29</v>
      </c>
    </row>
    <row r="462" spans="1:21" x14ac:dyDescent="0.25">
      <c r="A462" t="s">
        <v>962</v>
      </c>
      <c r="B462">
        <v>24</v>
      </c>
      <c r="C462" t="s">
        <v>22</v>
      </c>
      <c r="D462" t="s">
        <v>23</v>
      </c>
      <c r="E462">
        <v>91559</v>
      </c>
      <c r="F462">
        <v>2</v>
      </c>
      <c r="G462" t="s">
        <v>963</v>
      </c>
      <c r="H462">
        <v>1895759</v>
      </c>
      <c r="I462">
        <v>60</v>
      </c>
      <c r="J462">
        <v>6.64</v>
      </c>
      <c r="K462" t="s">
        <v>44</v>
      </c>
      <c r="L462">
        <v>0</v>
      </c>
      <c r="M462">
        <v>201172.05633595301</v>
      </c>
      <c r="N462">
        <v>3352.87</v>
      </c>
      <c r="O462" t="s">
        <v>26</v>
      </c>
      <c r="P462">
        <v>2</v>
      </c>
      <c r="Q462">
        <v>5</v>
      </c>
      <c r="R462" t="s">
        <v>27</v>
      </c>
      <c r="S462">
        <v>1</v>
      </c>
      <c r="T462" t="s">
        <v>38</v>
      </c>
      <c r="U462" t="s">
        <v>29</v>
      </c>
    </row>
    <row r="463" spans="1:21" x14ac:dyDescent="0.25">
      <c r="A463" t="s">
        <v>964</v>
      </c>
      <c r="B463">
        <v>36</v>
      </c>
      <c r="C463" t="s">
        <v>22</v>
      </c>
      <c r="D463" t="s">
        <v>49</v>
      </c>
      <c r="E463">
        <v>25699</v>
      </c>
      <c r="F463">
        <v>3</v>
      </c>
      <c r="G463" t="s">
        <v>965</v>
      </c>
      <c r="H463">
        <v>358362</v>
      </c>
      <c r="I463">
        <v>48</v>
      </c>
      <c r="J463">
        <v>15.57</v>
      </c>
      <c r="K463" t="s">
        <v>33</v>
      </c>
      <c r="L463">
        <v>507878.00572754198</v>
      </c>
      <c r="M463">
        <v>282199.62881227402</v>
      </c>
      <c r="N463">
        <v>5879.16</v>
      </c>
      <c r="O463" t="s">
        <v>26</v>
      </c>
      <c r="P463">
        <v>1</v>
      </c>
      <c r="Q463">
        <v>172</v>
      </c>
      <c r="R463" t="s">
        <v>34</v>
      </c>
      <c r="S463">
        <v>2</v>
      </c>
      <c r="T463" t="s">
        <v>38</v>
      </c>
      <c r="U463" t="s">
        <v>29</v>
      </c>
    </row>
    <row r="464" spans="1:21" x14ac:dyDescent="0.25">
      <c r="A464" t="s">
        <v>966</v>
      </c>
      <c r="B464">
        <v>44</v>
      </c>
      <c r="C464" t="s">
        <v>22</v>
      </c>
      <c r="D464" t="s">
        <v>23</v>
      </c>
      <c r="E464">
        <v>211133</v>
      </c>
      <c r="F464">
        <v>2</v>
      </c>
      <c r="G464" t="s">
        <v>967</v>
      </c>
      <c r="H464">
        <v>963081</v>
      </c>
      <c r="I464">
        <v>12</v>
      </c>
      <c r="J464">
        <v>17.02</v>
      </c>
      <c r="K464" t="s">
        <v>33</v>
      </c>
      <c r="L464">
        <v>1014662.205195</v>
      </c>
      <c r="M464">
        <v>541900.377300077</v>
      </c>
      <c r="N464">
        <v>45158.36</v>
      </c>
      <c r="O464" t="s">
        <v>68</v>
      </c>
      <c r="P464">
        <v>10</v>
      </c>
      <c r="Q464">
        <v>68</v>
      </c>
      <c r="R464" t="s">
        <v>34</v>
      </c>
      <c r="S464">
        <v>3</v>
      </c>
      <c r="T464" t="s">
        <v>28</v>
      </c>
      <c r="U464" t="s">
        <v>29</v>
      </c>
    </row>
    <row r="465" spans="1:21" x14ac:dyDescent="0.25">
      <c r="A465" t="s">
        <v>968</v>
      </c>
      <c r="B465">
        <v>36</v>
      </c>
      <c r="C465" t="s">
        <v>31</v>
      </c>
      <c r="D465" t="s">
        <v>58</v>
      </c>
      <c r="E465">
        <v>24715</v>
      </c>
      <c r="F465">
        <v>0</v>
      </c>
      <c r="G465" t="s">
        <v>969</v>
      </c>
      <c r="H465">
        <v>1892360</v>
      </c>
      <c r="I465">
        <v>60</v>
      </c>
      <c r="J465">
        <v>10.99</v>
      </c>
      <c r="K465" t="s">
        <v>64</v>
      </c>
      <c r="L465">
        <v>1512434.6756591599</v>
      </c>
      <c r="M465">
        <v>1516591.5263618301</v>
      </c>
      <c r="N465">
        <v>25276.53</v>
      </c>
      <c r="O465" t="s">
        <v>68</v>
      </c>
      <c r="P465">
        <v>4</v>
      </c>
      <c r="Q465">
        <v>147</v>
      </c>
      <c r="R465" t="s">
        <v>34</v>
      </c>
      <c r="S465">
        <v>2</v>
      </c>
      <c r="T465" t="s">
        <v>45</v>
      </c>
      <c r="U465" t="s">
        <v>29</v>
      </c>
    </row>
    <row r="466" spans="1:21" x14ac:dyDescent="0.25">
      <c r="A466" t="s">
        <v>970</v>
      </c>
      <c r="B466">
        <v>22</v>
      </c>
      <c r="C466" t="s">
        <v>22</v>
      </c>
      <c r="D466" t="s">
        <v>23</v>
      </c>
      <c r="E466">
        <v>34169</v>
      </c>
      <c r="F466">
        <v>3</v>
      </c>
      <c r="G466" t="s">
        <v>971</v>
      </c>
      <c r="H466">
        <v>1832988</v>
      </c>
      <c r="I466">
        <v>60</v>
      </c>
      <c r="J466">
        <v>11.49</v>
      </c>
      <c r="K466" t="s">
        <v>25</v>
      </c>
      <c r="L466">
        <v>1706252.0484764001</v>
      </c>
      <c r="M466">
        <v>1045256.14266127</v>
      </c>
      <c r="N466">
        <v>17420.939999999999</v>
      </c>
      <c r="O466" t="s">
        <v>26</v>
      </c>
      <c r="P466">
        <v>3</v>
      </c>
      <c r="Q466">
        <v>10</v>
      </c>
      <c r="R466" t="s">
        <v>34</v>
      </c>
      <c r="S466">
        <v>0</v>
      </c>
      <c r="T466" t="s">
        <v>38</v>
      </c>
      <c r="U466" t="s">
        <v>29</v>
      </c>
    </row>
    <row r="467" spans="1:21" x14ac:dyDescent="0.25">
      <c r="A467" t="s">
        <v>972</v>
      </c>
      <c r="B467">
        <v>48</v>
      </c>
      <c r="C467" t="s">
        <v>22</v>
      </c>
      <c r="D467" t="s">
        <v>49</v>
      </c>
      <c r="E467">
        <v>133413</v>
      </c>
      <c r="F467">
        <v>1</v>
      </c>
      <c r="G467" t="s">
        <v>973</v>
      </c>
      <c r="H467">
        <v>1187411</v>
      </c>
      <c r="I467">
        <v>48</v>
      </c>
      <c r="J467">
        <v>9.14</v>
      </c>
      <c r="K467" t="s">
        <v>44</v>
      </c>
      <c r="L467">
        <v>0</v>
      </c>
      <c r="M467">
        <v>803785.07050668902</v>
      </c>
      <c r="N467">
        <v>16745.52</v>
      </c>
      <c r="O467" t="s">
        <v>26</v>
      </c>
      <c r="P467">
        <v>1</v>
      </c>
      <c r="Q467">
        <v>44</v>
      </c>
      <c r="R467" t="s">
        <v>27</v>
      </c>
      <c r="S467">
        <v>3</v>
      </c>
      <c r="T467" t="s">
        <v>38</v>
      </c>
      <c r="U467" t="s">
        <v>29</v>
      </c>
    </row>
    <row r="468" spans="1:21" x14ac:dyDescent="0.25">
      <c r="A468" t="s">
        <v>974</v>
      </c>
      <c r="B468">
        <v>52</v>
      </c>
      <c r="C468" t="s">
        <v>31</v>
      </c>
      <c r="D468" t="s">
        <v>49</v>
      </c>
      <c r="E468">
        <v>162235</v>
      </c>
      <c r="F468">
        <v>0</v>
      </c>
      <c r="G468" t="s">
        <v>975</v>
      </c>
      <c r="H468">
        <v>1720357</v>
      </c>
      <c r="I468">
        <v>60</v>
      </c>
      <c r="J468">
        <v>16.63</v>
      </c>
      <c r="K468" t="s">
        <v>25</v>
      </c>
      <c r="L468">
        <v>1397259.9926151</v>
      </c>
      <c r="M468">
        <v>1389529.7509124</v>
      </c>
      <c r="N468">
        <v>23158.83</v>
      </c>
      <c r="O468" t="s">
        <v>68</v>
      </c>
      <c r="P468">
        <v>4</v>
      </c>
      <c r="Q468">
        <v>120</v>
      </c>
      <c r="R468" t="s">
        <v>34</v>
      </c>
      <c r="S468">
        <v>3</v>
      </c>
      <c r="T468" t="s">
        <v>28</v>
      </c>
      <c r="U468" t="s">
        <v>29</v>
      </c>
    </row>
    <row r="469" spans="1:21" x14ac:dyDescent="0.25">
      <c r="A469" t="s">
        <v>976</v>
      </c>
      <c r="B469">
        <v>47</v>
      </c>
      <c r="C469" t="s">
        <v>22</v>
      </c>
      <c r="D469" t="s">
        <v>49</v>
      </c>
      <c r="E469">
        <v>134264</v>
      </c>
      <c r="F469">
        <v>3</v>
      </c>
      <c r="G469" t="s">
        <v>977</v>
      </c>
      <c r="H469">
        <v>865359</v>
      </c>
      <c r="I469">
        <v>48</v>
      </c>
      <c r="J469">
        <v>13.38</v>
      </c>
      <c r="K469" t="s">
        <v>25</v>
      </c>
      <c r="L469">
        <v>1060160.9682487301</v>
      </c>
      <c r="M469">
        <v>402043.41090908402</v>
      </c>
      <c r="N469">
        <v>8375.9</v>
      </c>
      <c r="O469" t="s">
        <v>26</v>
      </c>
      <c r="P469">
        <v>3</v>
      </c>
      <c r="Q469">
        <v>132</v>
      </c>
      <c r="R469" t="s">
        <v>27</v>
      </c>
      <c r="S469">
        <v>9</v>
      </c>
      <c r="T469" t="s">
        <v>28</v>
      </c>
      <c r="U469" t="s">
        <v>29</v>
      </c>
    </row>
    <row r="470" spans="1:21" x14ac:dyDescent="0.25">
      <c r="A470" t="s">
        <v>978</v>
      </c>
      <c r="B470">
        <v>40</v>
      </c>
      <c r="C470" t="s">
        <v>22</v>
      </c>
      <c r="D470" t="s">
        <v>49</v>
      </c>
      <c r="E470">
        <v>20782</v>
      </c>
      <c r="F470">
        <v>3</v>
      </c>
      <c r="G470" t="s">
        <v>979</v>
      </c>
      <c r="H470">
        <v>1795030</v>
      </c>
      <c r="I470">
        <v>60</v>
      </c>
      <c r="J470">
        <v>8.75</v>
      </c>
      <c r="K470" t="s">
        <v>25</v>
      </c>
      <c r="L470">
        <v>2326898.5798500599</v>
      </c>
      <c r="M470">
        <v>183878.089154986</v>
      </c>
      <c r="N470">
        <v>3064.63</v>
      </c>
      <c r="O470" t="s">
        <v>26</v>
      </c>
      <c r="P470">
        <v>0</v>
      </c>
      <c r="Q470">
        <v>0</v>
      </c>
      <c r="R470" t="s">
        <v>34</v>
      </c>
      <c r="S470">
        <v>0</v>
      </c>
      <c r="T470" t="s">
        <v>38</v>
      </c>
      <c r="U470" t="s">
        <v>29</v>
      </c>
    </row>
    <row r="471" spans="1:21" x14ac:dyDescent="0.25">
      <c r="A471" t="s">
        <v>980</v>
      </c>
      <c r="B471">
        <v>44</v>
      </c>
      <c r="C471" t="s">
        <v>22</v>
      </c>
      <c r="D471" t="s">
        <v>23</v>
      </c>
      <c r="E471">
        <v>234249</v>
      </c>
      <c r="F471">
        <v>1</v>
      </c>
      <c r="G471" t="s">
        <v>981</v>
      </c>
      <c r="H471">
        <v>151948</v>
      </c>
      <c r="I471">
        <v>72</v>
      </c>
      <c r="J471">
        <v>8.8800000000000008</v>
      </c>
      <c r="K471" t="s">
        <v>44</v>
      </c>
      <c r="L471">
        <v>0</v>
      </c>
      <c r="M471">
        <v>131427.70314929201</v>
      </c>
      <c r="N471">
        <v>1825.38</v>
      </c>
      <c r="O471" t="s">
        <v>26</v>
      </c>
      <c r="P471">
        <v>2</v>
      </c>
      <c r="Q471">
        <v>166</v>
      </c>
      <c r="R471" t="s">
        <v>34</v>
      </c>
      <c r="S471">
        <v>0</v>
      </c>
      <c r="T471" t="s">
        <v>28</v>
      </c>
      <c r="U471" t="s">
        <v>29</v>
      </c>
    </row>
    <row r="472" spans="1:21" x14ac:dyDescent="0.25">
      <c r="A472" t="s">
        <v>982</v>
      </c>
      <c r="B472">
        <v>32</v>
      </c>
      <c r="C472" t="s">
        <v>22</v>
      </c>
      <c r="D472" t="s">
        <v>23</v>
      </c>
      <c r="E472">
        <v>139481</v>
      </c>
      <c r="F472">
        <v>3</v>
      </c>
      <c r="G472" t="s">
        <v>983</v>
      </c>
      <c r="H472">
        <v>1283770</v>
      </c>
      <c r="I472">
        <v>36</v>
      </c>
      <c r="J472">
        <v>16.59</v>
      </c>
      <c r="K472" t="s">
        <v>33</v>
      </c>
      <c r="L472">
        <v>1711185.0361369301</v>
      </c>
      <c r="M472">
        <v>568455.05874399701</v>
      </c>
      <c r="N472">
        <v>15790.42</v>
      </c>
      <c r="O472" t="s">
        <v>26</v>
      </c>
      <c r="P472">
        <v>1</v>
      </c>
      <c r="Q472">
        <v>113</v>
      </c>
      <c r="R472" t="s">
        <v>27</v>
      </c>
      <c r="S472">
        <v>3</v>
      </c>
      <c r="T472" t="s">
        <v>38</v>
      </c>
      <c r="U472" t="s">
        <v>29</v>
      </c>
    </row>
    <row r="473" spans="1:21" x14ac:dyDescent="0.25">
      <c r="A473" t="s">
        <v>984</v>
      </c>
      <c r="B473">
        <v>55</v>
      </c>
      <c r="C473" t="s">
        <v>22</v>
      </c>
      <c r="D473" t="s">
        <v>23</v>
      </c>
      <c r="E473">
        <v>230400</v>
      </c>
      <c r="F473">
        <v>2</v>
      </c>
      <c r="G473" t="s">
        <v>985</v>
      </c>
      <c r="H473">
        <v>1652357</v>
      </c>
      <c r="I473">
        <v>60</v>
      </c>
      <c r="J473">
        <v>5.18</v>
      </c>
      <c r="K473" t="s">
        <v>64</v>
      </c>
      <c r="L473">
        <v>2455019.5675807502</v>
      </c>
      <c r="M473">
        <v>902911.40356932499</v>
      </c>
      <c r="N473">
        <v>15048.52</v>
      </c>
      <c r="O473" t="s">
        <v>26</v>
      </c>
      <c r="P473">
        <v>2</v>
      </c>
      <c r="Q473">
        <v>71</v>
      </c>
      <c r="R473" t="s">
        <v>34</v>
      </c>
      <c r="S473">
        <v>2</v>
      </c>
      <c r="T473" t="s">
        <v>45</v>
      </c>
      <c r="U473" t="s">
        <v>29</v>
      </c>
    </row>
    <row r="474" spans="1:21" x14ac:dyDescent="0.25">
      <c r="A474" t="s">
        <v>986</v>
      </c>
      <c r="B474">
        <v>53</v>
      </c>
      <c r="C474" t="s">
        <v>22</v>
      </c>
      <c r="D474" t="s">
        <v>23</v>
      </c>
      <c r="E474">
        <v>50585</v>
      </c>
      <c r="F474">
        <v>1</v>
      </c>
      <c r="G474" t="s">
        <v>987</v>
      </c>
      <c r="H474">
        <v>1565331</v>
      </c>
      <c r="I474">
        <v>48</v>
      </c>
      <c r="J474">
        <v>9.1999999999999993</v>
      </c>
      <c r="K474" t="s">
        <v>44</v>
      </c>
      <c r="L474">
        <v>0</v>
      </c>
      <c r="M474">
        <v>167474.729156563</v>
      </c>
      <c r="N474">
        <v>3489.06</v>
      </c>
      <c r="O474" t="s">
        <v>26</v>
      </c>
      <c r="P474">
        <v>2</v>
      </c>
      <c r="Q474">
        <v>46</v>
      </c>
      <c r="R474" t="s">
        <v>34</v>
      </c>
      <c r="S474">
        <v>1</v>
      </c>
      <c r="T474" t="s">
        <v>41</v>
      </c>
      <c r="U474" t="s">
        <v>29</v>
      </c>
    </row>
    <row r="475" spans="1:21" x14ac:dyDescent="0.25">
      <c r="A475" t="s">
        <v>988</v>
      </c>
      <c r="B475">
        <v>53</v>
      </c>
      <c r="C475" t="s">
        <v>31</v>
      </c>
      <c r="D475" t="s">
        <v>23</v>
      </c>
      <c r="E475">
        <v>45682</v>
      </c>
      <c r="F475">
        <v>0</v>
      </c>
      <c r="G475" t="s">
        <v>989</v>
      </c>
      <c r="H475">
        <v>343851</v>
      </c>
      <c r="I475">
        <v>60</v>
      </c>
      <c r="J475">
        <v>12.21</v>
      </c>
      <c r="K475" t="s">
        <v>44</v>
      </c>
      <c r="L475">
        <v>0</v>
      </c>
      <c r="M475">
        <v>186670.796865802</v>
      </c>
      <c r="N475">
        <v>3111.18</v>
      </c>
      <c r="O475" t="s">
        <v>26</v>
      </c>
      <c r="P475">
        <v>2</v>
      </c>
      <c r="Q475">
        <v>149</v>
      </c>
      <c r="R475" t="s">
        <v>34</v>
      </c>
      <c r="S475">
        <v>1</v>
      </c>
      <c r="T475" t="s">
        <v>28</v>
      </c>
      <c r="U475" t="s">
        <v>29</v>
      </c>
    </row>
    <row r="476" spans="1:21" x14ac:dyDescent="0.25">
      <c r="A476" t="s">
        <v>990</v>
      </c>
      <c r="B476">
        <v>63</v>
      </c>
      <c r="C476" t="s">
        <v>22</v>
      </c>
      <c r="D476" t="s">
        <v>23</v>
      </c>
      <c r="E476">
        <v>193936</v>
      </c>
      <c r="F476">
        <v>0</v>
      </c>
      <c r="G476" t="s">
        <v>991</v>
      </c>
      <c r="H476">
        <v>1822750</v>
      </c>
      <c r="I476">
        <v>60</v>
      </c>
      <c r="J476">
        <v>6.93</v>
      </c>
      <c r="K476" t="s">
        <v>44</v>
      </c>
      <c r="L476">
        <v>0</v>
      </c>
      <c r="M476">
        <v>1800582.9200933799</v>
      </c>
      <c r="N476">
        <v>30009.72</v>
      </c>
      <c r="O476" t="s">
        <v>26</v>
      </c>
      <c r="P476">
        <v>0</v>
      </c>
      <c r="Q476">
        <v>0</v>
      </c>
      <c r="R476" t="s">
        <v>27</v>
      </c>
      <c r="S476">
        <v>4</v>
      </c>
      <c r="T476" t="s">
        <v>41</v>
      </c>
      <c r="U476" t="s">
        <v>29</v>
      </c>
    </row>
    <row r="477" spans="1:21" x14ac:dyDescent="0.25">
      <c r="A477" t="s">
        <v>992</v>
      </c>
      <c r="B477">
        <v>57</v>
      </c>
      <c r="C477" t="s">
        <v>22</v>
      </c>
      <c r="D477" t="s">
        <v>49</v>
      </c>
      <c r="E477">
        <v>144992</v>
      </c>
      <c r="F477">
        <v>2</v>
      </c>
      <c r="G477" t="s">
        <v>993</v>
      </c>
      <c r="H477">
        <v>1236944</v>
      </c>
      <c r="I477">
        <v>12</v>
      </c>
      <c r="J477">
        <v>6.2</v>
      </c>
      <c r="K477" t="s">
        <v>33</v>
      </c>
      <c r="L477">
        <v>1597246.35789802</v>
      </c>
      <c r="M477">
        <v>433475.76209943101</v>
      </c>
      <c r="N477">
        <v>36122.980000000003</v>
      </c>
      <c r="O477" t="s">
        <v>68</v>
      </c>
      <c r="P477">
        <v>2</v>
      </c>
      <c r="Q477">
        <v>111</v>
      </c>
      <c r="R477" t="s">
        <v>27</v>
      </c>
      <c r="S477">
        <v>4</v>
      </c>
      <c r="T477" t="s">
        <v>38</v>
      </c>
      <c r="U477" t="s">
        <v>29</v>
      </c>
    </row>
    <row r="478" spans="1:21" x14ac:dyDescent="0.25">
      <c r="A478" t="s">
        <v>994</v>
      </c>
      <c r="B478">
        <v>32</v>
      </c>
      <c r="C478" t="s">
        <v>31</v>
      </c>
      <c r="D478" t="s">
        <v>23</v>
      </c>
      <c r="E478">
        <v>99416</v>
      </c>
      <c r="F478">
        <v>0</v>
      </c>
      <c r="G478" t="s">
        <v>995</v>
      </c>
      <c r="H478">
        <v>1255046</v>
      </c>
      <c r="I478">
        <v>48</v>
      </c>
      <c r="J478">
        <v>15.6</v>
      </c>
      <c r="K478" t="s">
        <v>25</v>
      </c>
      <c r="L478">
        <v>1382287.6723813999</v>
      </c>
      <c r="M478">
        <v>572145.90655515401</v>
      </c>
      <c r="N478">
        <v>11919.71</v>
      </c>
      <c r="O478" t="s">
        <v>37</v>
      </c>
      <c r="P478">
        <v>1</v>
      </c>
      <c r="Q478">
        <v>162</v>
      </c>
      <c r="R478" t="s">
        <v>34</v>
      </c>
      <c r="S478">
        <v>2</v>
      </c>
      <c r="T478" t="s">
        <v>38</v>
      </c>
      <c r="U478" t="s">
        <v>29</v>
      </c>
    </row>
    <row r="479" spans="1:21" x14ac:dyDescent="0.25">
      <c r="A479" t="s">
        <v>996</v>
      </c>
      <c r="B479">
        <v>23</v>
      </c>
      <c r="C479" t="s">
        <v>22</v>
      </c>
      <c r="D479" t="s">
        <v>49</v>
      </c>
      <c r="E479">
        <v>201186</v>
      </c>
      <c r="F479">
        <v>3</v>
      </c>
      <c r="G479" t="s">
        <v>997</v>
      </c>
      <c r="H479">
        <v>347986</v>
      </c>
      <c r="I479">
        <v>24</v>
      </c>
      <c r="J479">
        <v>16.63</v>
      </c>
      <c r="K479" t="s">
        <v>25</v>
      </c>
      <c r="L479">
        <v>292036.91475616302</v>
      </c>
      <c r="M479">
        <v>250017.84830003401</v>
      </c>
      <c r="N479">
        <v>10417.41</v>
      </c>
      <c r="O479" t="s">
        <v>37</v>
      </c>
      <c r="P479">
        <v>1</v>
      </c>
      <c r="Q479">
        <v>125</v>
      </c>
      <c r="R479" t="s">
        <v>65</v>
      </c>
      <c r="S479">
        <v>1</v>
      </c>
      <c r="T479" t="s">
        <v>38</v>
      </c>
      <c r="U479" t="s">
        <v>29</v>
      </c>
    </row>
    <row r="480" spans="1:21" x14ac:dyDescent="0.25">
      <c r="A480" t="s">
        <v>998</v>
      </c>
      <c r="B480">
        <v>21</v>
      </c>
      <c r="C480" t="s">
        <v>31</v>
      </c>
      <c r="D480" t="s">
        <v>49</v>
      </c>
      <c r="E480">
        <v>142810</v>
      </c>
      <c r="F480">
        <v>3</v>
      </c>
      <c r="G480" t="s">
        <v>999</v>
      </c>
      <c r="H480">
        <v>63261</v>
      </c>
      <c r="I480">
        <v>60</v>
      </c>
      <c r="J480">
        <v>15.71</v>
      </c>
      <c r="K480" t="s">
        <v>25</v>
      </c>
      <c r="L480">
        <v>66082.152680890693</v>
      </c>
      <c r="M480">
        <v>52716.295981092801</v>
      </c>
      <c r="N480">
        <v>878.6</v>
      </c>
      <c r="O480" t="s">
        <v>37</v>
      </c>
      <c r="P480">
        <v>3</v>
      </c>
      <c r="Q480">
        <v>23</v>
      </c>
      <c r="R480" t="s">
        <v>27</v>
      </c>
      <c r="S480">
        <v>0</v>
      </c>
      <c r="T480" t="s">
        <v>41</v>
      </c>
      <c r="U480" t="s">
        <v>29</v>
      </c>
    </row>
    <row r="481" spans="1:21" x14ac:dyDescent="0.25">
      <c r="A481" t="s">
        <v>1000</v>
      </c>
      <c r="B481">
        <v>53</v>
      </c>
      <c r="C481" t="s">
        <v>22</v>
      </c>
      <c r="D481" t="s">
        <v>58</v>
      </c>
      <c r="E481">
        <v>53067</v>
      </c>
      <c r="F481">
        <v>2</v>
      </c>
      <c r="G481" t="s">
        <v>1001</v>
      </c>
      <c r="H481">
        <v>1175285</v>
      </c>
      <c r="I481">
        <v>48</v>
      </c>
      <c r="J481">
        <v>16.68</v>
      </c>
      <c r="K481" t="s">
        <v>25</v>
      </c>
      <c r="L481">
        <v>635909.30745797197</v>
      </c>
      <c r="M481">
        <v>559027.20333800896</v>
      </c>
      <c r="N481">
        <v>11646.4</v>
      </c>
      <c r="O481" t="s">
        <v>26</v>
      </c>
      <c r="P481">
        <v>1</v>
      </c>
      <c r="Q481">
        <v>120</v>
      </c>
      <c r="R481" t="s">
        <v>27</v>
      </c>
      <c r="S481">
        <v>7</v>
      </c>
      <c r="T481" t="s">
        <v>38</v>
      </c>
      <c r="U481" t="s">
        <v>29</v>
      </c>
    </row>
    <row r="482" spans="1:21" x14ac:dyDescent="0.25">
      <c r="A482" t="s">
        <v>1002</v>
      </c>
      <c r="B482">
        <v>60</v>
      </c>
      <c r="C482" t="s">
        <v>22</v>
      </c>
      <c r="D482" t="s">
        <v>23</v>
      </c>
      <c r="E482">
        <v>188757</v>
      </c>
      <c r="F482">
        <v>0</v>
      </c>
      <c r="G482" t="s">
        <v>1003</v>
      </c>
      <c r="H482">
        <v>1718849</v>
      </c>
      <c r="I482">
        <v>60</v>
      </c>
      <c r="J482">
        <v>12.19</v>
      </c>
      <c r="K482" t="s">
        <v>44</v>
      </c>
      <c r="L482">
        <v>0</v>
      </c>
      <c r="M482">
        <v>650931.52539835195</v>
      </c>
      <c r="N482">
        <v>10848.86</v>
      </c>
      <c r="O482" t="s">
        <v>26</v>
      </c>
      <c r="P482">
        <v>1</v>
      </c>
      <c r="Q482">
        <v>89</v>
      </c>
      <c r="R482" t="s">
        <v>27</v>
      </c>
      <c r="S482">
        <v>6</v>
      </c>
      <c r="T482" t="s">
        <v>28</v>
      </c>
      <c r="U482" t="s">
        <v>29</v>
      </c>
    </row>
    <row r="483" spans="1:21" x14ac:dyDescent="0.25">
      <c r="A483" t="s">
        <v>1004</v>
      </c>
      <c r="B483">
        <v>30</v>
      </c>
      <c r="C483" t="s">
        <v>31</v>
      </c>
      <c r="D483" t="s">
        <v>23</v>
      </c>
      <c r="E483">
        <v>33073</v>
      </c>
      <c r="F483">
        <v>0</v>
      </c>
      <c r="G483" t="s">
        <v>1005</v>
      </c>
      <c r="H483">
        <v>418760</v>
      </c>
      <c r="I483">
        <v>24</v>
      </c>
      <c r="J483">
        <v>15.56</v>
      </c>
      <c r="K483" t="s">
        <v>25</v>
      </c>
      <c r="L483">
        <v>521282.94862890599</v>
      </c>
      <c r="M483">
        <v>395327.53880157199</v>
      </c>
      <c r="N483">
        <v>16471.98</v>
      </c>
      <c r="O483" t="s">
        <v>68</v>
      </c>
      <c r="P483">
        <v>1</v>
      </c>
      <c r="Q483">
        <v>104</v>
      </c>
      <c r="R483" t="s">
        <v>34</v>
      </c>
      <c r="S483">
        <v>1</v>
      </c>
      <c r="T483" t="s">
        <v>45</v>
      </c>
      <c r="U483" t="s">
        <v>29</v>
      </c>
    </row>
    <row r="484" spans="1:21" x14ac:dyDescent="0.25">
      <c r="A484" t="s">
        <v>1006</v>
      </c>
      <c r="B484">
        <v>63</v>
      </c>
      <c r="C484" t="s">
        <v>22</v>
      </c>
      <c r="D484" t="s">
        <v>23</v>
      </c>
      <c r="E484">
        <v>51035</v>
      </c>
      <c r="F484">
        <v>2</v>
      </c>
      <c r="G484" t="s">
        <v>1007</v>
      </c>
      <c r="H484">
        <v>903605</v>
      </c>
      <c r="I484">
        <v>48</v>
      </c>
      <c r="J484">
        <v>9.99</v>
      </c>
      <c r="K484" t="s">
        <v>33</v>
      </c>
      <c r="L484">
        <v>854770.16032294906</v>
      </c>
      <c r="M484">
        <v>641044.91984841798</v>
      </c>
      <c r="N484">
        <v>13355.1</v>
      </c>
      <c r="O484" t="s">
        <v>26</v>
      </c>
      <c r="P484">
        <v>3</v>
      </c>
      <c r="Q484">
        <v>85</v>
      </c>
      <c r="R484" t="s">
        <v>27</v>
      </c>
      <c r="S484">
        <v>2</v>
      </c>
      <c r="T484" t="s">
        <v>45</v>
      </c>
      <c r="U484" t="s">
        <v>29</v>
      </c>
    </row>
    <row r="485" spans="1:21" x14ac:dyDescent="0.25">
      <c r="A485" t="s">
        <v>1008</v>
      </c>
      <c r="B485">
        <v>64</v>
      </c>
      <c r="C485" t="s">
        <v>22</v>
      </c>
      <c r="D485" t="s">
        <v>23</v>
      </c>
      <c r="E485">
        <v>211049</v>
      </c>
      <c r="F485">
        <v>1</v>
      </c>
      <c r="G485" t="s">
        <v>1009</v>
      </c>
      <c r="H485">
        <v>1392501</v>
      </c>
      <c r="I485">
        <v>36</v>
      </c>
      <c r="J485">
        <v>13.66</v>
      </c>
      <c r="K485" t="s">
        <v>64</v>
      </c>
      <c r="L485">
        <v>724132.867425301</v>
      </c>
      <c r="M485">
        <v>288413.65697520302</v>
      </c>
      <c r="N485">
        <v>8011.49</v>
      </c>
      <c r="O485" t="s">
        <v>26</v>
      </c>
      <c r="P485">
        <v>3</v>
      </c>
      <c r="Q485">
        <v>82</v>
      </c>
      <c r="R485" t="s">
        <v>34</v>
      </c>
      <c r="S485">
        <v>3</v>
      </c>
      <c r="T485" t="s">
        <v>28</v>
      </c>
      <c r="U485" t="s">
        <v>29</v>
      </c>
    </row>
    <row r="486" spans="1:21" x14ac:dyDescent="0.25">
      <c r="A486" t="s">
        <v>1010</v>
      </c>
      <c r="B486">
        <v>49</v>
      </c>
      <c r="C486" t="s">
        <v>22</v>
      </c>
      <c r="D486" t="s">
        <v>49</v>
      </c>
      <c r="E486">
        <v>248782</v>
      </c>
      <c r="F486">
        <v>0</v>
      </c>
      <c r="G486" t="s">
        <v>1011</v>
      </c>
      <c r="H486">
        <v>325796</v>
      </c>
      <c r="I486">
        <v>72</v>
      </c>
      <c r="J486">
        <v>17.850000000000001</v>
      </c>
      <c r="K486" t="s">
        <v>64</v>
      </c>
      <c r="L486">
        <v>183262.51151632599</v>
      </c>
      <c r="M486">
        <v>52790.384286280401</v>
      </c>
      <c r="N486">
        <v>733.2</v>
      </c>
      <c r="O486" t="s">
        <v>37</v>
      </c>
      <c r="P486">
        <v>2</v>
      </c>
      <c r="Q486">
        <v>171</v>
      </c>
      <c r="R486" t="s">
        <v>34</v>
      </c>
      <c r="S486">
        <v>1</v>
      </c>
      <c r="T486" t="s">
        <v>45</v>
      </c>
      <c r="U486" t="s">
        <v>29</v>
      </c>
    </row>
    <row r="487" spans="1:21" x14ac:dyDescent="0.25">
      <c r="A487" t="s">
        <v>1012</v>
      </c>
      <c r="B487">
        <v>33</v>
      </c>
      <c r="C487" t="s">
        <v>22</v>
      </c>
      <c r="D487" t="s">
        <v>23</v>
      </c>
      <c r="E487">
        <v>105373</v>
      </c>
      <c r="F487">
        <v>1</v>
      </c>
      <c r="G487" t="s">
        <v>1013</v>
      </c>
      <c r="H487">
        <v>1365823</v>
      </c>
      <c r="I487">
        <v>72</v>
      </c>
      <c r="J487">
        <v>7.93</v>
      </c>
      <c r="K487" t="s">
        <v>64</v>
      </c>
      <c r="L487">
        <v>1212122.1080164199</v>
      </c>
      <c r="M487">
        <v>730981.45707044902</v>
      </c>
      <c r="N487">
        <v>10152.52</v>
      </c>
      <c r="O487" t="s">
        <v>26</v>
      </c>
      <c r="P487">
        <v>3</v>
      </c>
      <c r="Q487">
        <v>26</v>
      </c>
      <c r="R487" t="s">
        <v>65</v>
      </c>
      <c r="S487">
        <v>8</v>
      </c>
      <c r="T487" t="s">
        <v>41</v>
      </c>
      <c r="U487" t="s">
        <v>29</v>
      </c>
    </row>
    <row r="488" spans="1:21" x14ac:dyDescent="0.25">
      <c r="A488" t="s">
        <v>1014</v>
      </c>
      <c r="B488">
        <v>32</v>
      </c>
      <c r="C488" t="s">
        <v>31</v>
      </c>
      <c r="D488" t="s">
        <v>49</v>
      </c>
      <c r="E488">
        <v>98362</v>
      </c>
      <c r="F488">
        <v>0</v>
      </c>
      <c r="G488" t="s">
        <v>1015</v>
      </c>
      <c r="H488">
        <v>1386220</v>
      </c>
      <c r="I488">
        <v>72</v>
      </c>
      <c r="J488">
        <v>10.07</v>
      </c>
      <c r="K488" t="s">
        <v>25</v>
      </c>
      <c r="L488">
        <v>1501860.5780937399</v>
      </c>
      <c r="M488">
        <v>413205.92622044502</v>
      </c>
      <c r="N488">
        <v>5738.97</v>
      </c>
      <c r="O488" t="s">
        <v>26</v>
      </c>
      <c r="P488">
        <v>3</v>
      </c>
      <c r="Q488">
        <v>41</v>
      </c>
      <c r="R488" t="s">
        <v>27</v>
      </c>
      <c r="S488">
        <v>8</v>
      </c>
      <c r="T488" t="s">
        <v>38</v>
      </c>
      <c r="U488" t="s">
        <v>29</v>
      </c>
    </row>
    <row r="489" spans="1:21" x14ac:dyDescent="0.25">
      <c r="A489" t="s">
        <v>1016</v>
      </c>
      <c r="B489">
        <v>51</v>
      </c>
      <c r="C489" t="s">
        <v>22</v>
      </c>
      <c r="D489" t="s">
        <v>23</v>
      </c>
      <c r="E489">
        <v>105517</v>
      </c>
      <c r="F489">
        <v>0</v>
      </c>
      <c r="G489" t="s">
        <v>1017</v>
      </c>
      <c r="H489">
        <v>820692</v>
      </c>
      <c r="I489">
        <v>60</v>
      </c>
      <c r="J489">
        <v>11.24</v>
      </c>
      <c r="K489" t="s">
        <v>25</v>
      </c>
      <c r="L489">
        <v>791314.46727341902</v>
      </c>
      <c r="M489">
        <v>269668.12969607802</v>
      </c>
      <c r="N489">
        <v>4494.47</v>
      </c>
      <c r="O489" t="s">
        <v>68</v>
      </c>
      <c r="P489">
        <v>0</v>
      </c>
      <c r="Q489">
        <v>0</v>
      </c>
      <c r="R489" t="s">
        <v>34</v>
      </c>
      <c r="S489">
        <v>2</v>
      </c>
      <c r="T489" t="s">
        <v>38</v>
      </c>
      <c r="U489" t="s">
        <v>29</v>
      </c>
    </row>
    <row r="490" spans="1:21" x14ac:dyDescent="0.25">
      <c r="A490" t="s">
        <v>1018</v>
      </c>
      <c r="B490">
        <v>22</v>
      </c>
      <c r="C490" t="s">
        <v>22</v>
      </c>
      <c r="D490" t="s">
        <v>49</v>
      </c>
      <c r="E490">
        <v>80450</v>
      </c>
      <c r="F490">
        <v>0</v>
      </c>
      <c r="G490" t="s">
        <v>1019</v>
      </c>
      <c r="H490">
        <v>1723200</v>
      </c>
      <c r="I490">
        <v>60</v>
      </c>
      <c r="J490">
        <v>6.79</v>
      </c>
      <c r="K490" t="s">
        <v>33</v>
      </c>
      <c r="L490">
        <v>1928612.8795578401</v>
      </c>
      <c r="M490">
        <v>1533515.2463005299</v>
      </c>
      <c r="N490">
        <v>25558.59</v>
      </c>
      <c r="O490" t="s">
        <v>37</v>
      </c>
      <c r="P490">
        <v>1</v>
      </c>
      <c r="Q490">
        <v>84</v>
      </c>
      <c r="R490" t="s">
        <v>34</v>
      </c>
      <c r="S490">
        <v>0</v>
      </c>
      <c r="T490" t="s">
        <v>38</v>
      </c>
      <c r="U490" t="s">
        <v>29</v>
      </c>
    </row>
    <row r="491" spans="1:21" x14ac:dyDescent="0.25">
      <c r="A491" t="s">
        <v>1020</v>
      </c>
      <c r="B491">
        <v>55</v>
      </c>
      <c r="C491" t="s">
        <v>22</v>
      </c>
      <c r="D491" t="s">
        <v>49</v>
      </c>
      <c r="E491">
        <v>25382</v>
      </c>
      <c r="F491">
        <v>0</v>
      </c>
      <c r="G491" t="s">
        <v>1021</v>
      </c>
      <c r="H491">
        <v>478745</v>
      </c>
      <c r="I491">
        <v>24</v>
      </c>
      <c r="J491">
        <v>6.05</v>
      </c>
      <c r="K491" t="s">
        <v>64</v>
      </c>
      <c r="L491">
        <v>469310.97492506797</v>
      </c>
      <c r="M491">
        <v>86465.857680180896</v>
      </c>
      <c r="N491">
        <v>3602.74</v>
      </c>
      <c r="O491" t="s">
        <v>26</v>
      </c>
      <c r="P491">
        <v>3</v>
      </c>
      <c r="Q491">
        <v>105</v>
      </c>
      <c r="R491" t="s">
        <v>27</v>
      </c>
      <c r="S491">
        <v>6</v>
      </c>
      <c r="T491" t="s">
        <v>41</v>
      </c>
      <c r="U491" t="s">
        <v>29</v>
      </c>
    </row>
    <row r="492" spans="1:21" x14ac:dyDescent="0.25">
      <c r="A492" t="s">
        <v>1022</v>
      </c>
      <c r="B492">
        <v>43</v>
      </c>
      <c r="C492" t="s">
        <v>31</v>
      </c>
      <c r="D492" t="s">
        <v>23</v>
      </c>
      <c r="E492">
        <v>150509</v>
      </c>
      <c r="F492">
        <v>3</v>
      </c>
      <c r="G492" t="s">
        <v>1023</v>
      </c>
      <c r="H492">
        <v>687787</v>
      </c>
      <c r="I492">
        <v>36</v>
      </c>
      <c r="J492">
        <v>15.79</v>
      </c>
      <c r="K492" t="s">
        <v>44</v>
      </c>
      <c r="L492">
        <v>0</v>
      </c>
      <c r="M492">
        <v>511595.02484883898</v>
      </c>
      <c r="N492">
        <v>14210.97</v>
      </c>
      <c r="O492" t="s">
        <v>68</v>
      </c>
      <c r="P492">
        <v>6</v>
      </c>
      <c r="Q492">
        <v>177</v>
      </c>
      <c r="R492" t="s">
        <v>34</v>
      </c>
      <c r="S492">
        <v>0</v>
      </c>
      <c r="T492" t="s">
        <v>41</v>
      </c>
      <c r="U492" t="s">
        <v>29</v>
      </c>
    </row>
    <row r="493" spans="1:21" x14ac:dyDescent="0.25">
      <c r="A493" t="s">
        <v>1024</v>
      </c>
      <c r="B493">
        <v>37</v>
      </c>
      <c r="C493" t="s">
        <v>22</v>
      </c>
      <c r="D493" t="s">
        <v>23</v>
      </c>
      <c r="E493">
        <v>217043</v>
      </c>
      <c r="F493">
        <v>1</v>
      </c>
      <c r="G493" t="s">
        <v>1025</v>
      </c>
      <c r="H493">
        <v>723812</v>
      </c>
      <c r="I493">
        <v>48</v>
      </c>
      <c r="J493">
        <v>17.7</v>
      </c>
      <c r="K493" t="s">
        <v>44</v>
      </c>
      <c r="L493">
        <v>0</v>
      </c>
      <c r="M493">
        <v>249011.61503351899</v>
      </c>
      <c r="N493">
        <v>5187.74</v>
      </c>
      <c r="O493" t="s">
        <v>37</v>
      </c>
      <c r="P493">
        <v>0</v>
      </c>
      <c r="Q493">
        <v>0</v>
      </c>
      <c r="R493" t="s">
        <v>34</v>
      </c>
      <c r="S493">
        <v>3</v>
      </c>
      <c r="T493" t="s">
        <v>41</v>
      </c>
      <c r="U493" t="s">
        <v>29</v>
      </c>
    </row>
    <row r="494" spans="1:21" x14ac:dyDescent="0.25">
      <c r="A494" t="s">
        <v>1026</v>
      </c>
      <c r="B494">
        <v>46</v>
      </c>
      <c r="C494" t="s">
        <v>31</v>
      </c>
      <c r="D494" t="s">
        <v>23</v>
      </c>
      <c r="E494">
        <v>210684</v>
      </c>
      <c r="F494">
        <v>1</v>
      </c>
      <c r="G494" t="s">
        <v>1027</v>
      </c>
      <c r="H494">
        <v>885825</v>
      </c>
      <c r="I494">
        <v>60</v>
      </c>
      <c r="J494">
        <v>10.26</v>
      </c>
      <c r="K494" t="s">
        <v>44</v>
      </c>
      <c r="L494">
        <v>0</v>
      </c>
      <c r="M494">
        <v>694748.47205278801</v>
      </c>
      <c r="N494">
        <v>11579.14</v>
      </c>
      <c r="O494" t="s">
        <v>37</v>
      </c>
      <c r="P494">
        <v>3</v>
      </c>
      <c r="Q494">
        <v>126</v>
      </c>
      <c r="R494" t="s">
        <v>34</v>
      </c>
      <c r="S494">
        <v>0</v>
      </c>
      <c r="T494" t="s">
        <v>28</v>
      </c>
      <c r="U494" t="s">
        <v>29</v>
      </c>
    </row>
    <row r="495" spans="1:21" x14ac:dyDescent="0.25">
      <c r="A495" t="s">
        <v>1028</v>
      </c>
      <c r="B495">
        <v>28</v>
      </c>
      <c r="C495" t="s">
        <v>22</v>
      </c>
      <c r="D495" t="s">
        <v>23</v>
      </c>
      <c r="E495">
        <v>236427</v>
      </c>
      <c r="F495">
        <v>0</v>
      </c>
      <c r="G495" t="s">
        <v>1029</v>
      </c>
      <c r="H495">
        <v>1522966</v>
      </c>
      <c r="I495">
        <v>72</v>
      </c>
      <c r="J495">
        <v>6.14</v>
      </c>
      <c r="K495" t="s">
        <v>25</v>
      </c>
      <c r="L495">
        <v>1769235.4587373501</v>
      </c>
      <c r="M495">
        <v>1142483.77889582</v>
      </c>
      <c r="N495">
        <v>15867.83</v>
      </c>
      <c r="O495" t="s">
        <v>26</v>
      </c>
      <c r="P495">
        <v>3</v>
      </c>
      <c r="Q495">
        <v>73</v>
      </c>
      <c r="R495" t="s">
        <v>34</v>
      </c>
      <c r="S495">
        <v>3</v>
      </c>
      <c r="T495" t="s">
        <v>41</v>
      </c>
      <c r="U495" t="s">
        <v>29</v>
      </c>
    </row>
    <row r="496" spans="1:21" x14ac:dyDescent="0.25">
      <c r="A496" t="s">
        <v>1030</v>
      </c>
      <c r="B496">
        <v>49</v>
      </c>
      <c r="C496" t="s">
        <v>31</v>
      </c>
      <c r="D496" t="s">
        <v>23</v>
      </c>
      <c r="E496">
        <v>76929</v>
      </c>
      <c r="F496">
        <v>0</v>
      </c>
      <c r="G496" t="s">
        <v>1031</v>
      </c>
      <c r="H496">
        <v>1556242</v>
      </c>
      <c r="I496">
        <v>24</v>
      </c>
      <c r="J496">
        <v>5.86</v>
      </c>
      <c r="K496" t="s">
        <v>44</v>
      </c>
      <c r="L496">
        <v>0</v>
      </c>
      <c r="M496">
        <v>165977.42873872301</v>
      </c>
      <c r="N496">
        <v>6915.73</v>
      </c>
      <c r="O496" t="s">
        <v>26</v>
      </c>
      <c r="P496">
        <v>0</v>
      </c>
      <c r="Q496">
        <v>0</v>
      </c>
      <c r="R496" t="s">
        <v>27</v>
      </c>
      <c r="S496">
        <v>1</v>
      </c>
      <c r="T496" t="s">
        <v>45</v>
      </c>
      <c r="U496" t="s">
        <v>29</v>
      </c>
    </row>
    <row r="497" spans="1:21" x14ac:dyDescent="0.25">
      <c r="A497" t="s">
        <v>1032</v>
      </c>
      <c r="B497">
        <v>46</v>
      </c>
      <c r="C497" t="s">
        <v>31</v>
      </c>
      <c r="D497" t="s">
        <v>23</v>
      </c>
      <c r="E497">
        <v>248483</v>
      </c>
      <c r="F497">
        <v>1</v>
      </c>
      <c r="G497" t="s">
        <v>1033</v>
      </c>
      <c r="H497">
        <v>740796</v>
      </c>
      <c r="I497">
        <v>72</v>
      </c>
      <c r="J497">
        <v>16.59</v>
      </c>
      <c r="K497" t="s">
        <v>44</v>
      </c>
      <c r="L497">
        <v>0</v>
      </c>
      <c r="M497">
        <v>413528.52961560199</v>
      </c>
      <c r="N497">
        <v>5743.45</v>
      </c>
      <c r="O497" t="s">
        <v>37</v>
      </c>
      <c r="P497">
        <v>2</v>
      </c>
      <c r="Q497">
        <v>169</v>
      </c>
      <c r="R497" t="s">
        <v>34</v>
      </c>
      <c r="S497">
        <v>2</v>
      </c>
      <c r="T497" t="s">
        <v>28</v>
      </c>
      <c r="U497" t="s">
        <v>29</v>
      </c>
    </row>
    <row r="498" spans="1:21" x14ac:dyDescent="0.25">
      <c r="A498" t="s">
        <v>1034</v>
      </c>
      <c r="B498">
        <v>30</v>
      </c>
      <c r="C498" t="s">
        <v>31</v>
      </c>
      <c r="D498" t="s">
        <v>23</v>
      </c>
      <c r="E498">
        <v>243590</v>
      </c>
      <c r="F498">
        <v>3</v>
      </c>
      <c r="G498" t="s">
        <v>1035</v>
      </c>
      <c r="H498">
        <v>1408126</v>
      </c>
      <c r="I498">
        <v>60</v>
      </c>
      <c r="J498">
        <v>11.03</v>
      </c>
      <c r="K498" t="s">
        <v>44</v>
      </c>
      <c r="L498">
        <v>0</v>
      </c>
      <c r="M498">
        <v>317374.046898762</v>
      </c>
      <c r="N498">
        <v>5289.57</v>
      </c>
      <c r="O498" t="s">
        <v>37</v>
      </c>
      <c r="P498">
        <v>2</v>
      </c>
      <c r="Q498">
        <v>102</v>
      </c>
      <c r="R498" t="s">
        <v>27</v>
      </c>
      <c r="S498">
        <v>9</v>
      </c>
      <c r="T498" t="s">
        <v>28</v>
      </c>
      <c r="U498" t="s">
        <v>29</v>
      </c>
    </row>
    <row r="499" spans="1:21" x14ac:dyDescent="0.25">
      <c r="A499" t="s">
        <v>1036</v>
      </c>
      <c r="B499">
        <v>46</v>
      </c>
      <c r="C499" t="s">
        <v>31</v>
      </c>
      <c r="D499" t="s">
        <v>23</v>
      </c>
      <c r="E499">
        <v>113864</v>
      </c>
      <c r="F499">
        <v>2</v>
      </c>
      <c r="G499" t="s">
        <v>1037</v>
      </c>
      <c r="H499">
        <v>375203</v>
      </c>
      <c r="I499">
        <v>48</v>
      </c>
      <c r="J499">
        <v>9.16</v>
      </c>
      <c r="K499" t="s">
        <v>44</v>
      </c>
      <c r="L499">
        <v>0</v>
      </c>
      <c r="M499">
        <v>330030.18249878997</v>
      </c>
      <c r="N499">
        <v>6875.63</v>
      </c>
      <c r="O499" t="s">
        <v>37</v>
      </c>
      <c r="P499">
        <v>3</v>
      </c>
      <c r="Q499">
        <v>140</v>
      </c>
      <c r="R499" t="s">
        <v>34</v>
      </c>
      <c r="S499">
        <v>3</v>
      </c>
      <c r="T499" t="s">
        <v>28</v>
      </c>
      <c r="U499" t="s">
        <v>29</v>
      </c>
    </row>
    <row r="500" spans="1:21" x14ac:dyDescent="0.25">
      <c r="A500" t="s">
        <v>1038</v>
      </c>
      <c r="B500">
        <v>54</v>
      </c>
      <c r="C500" t="s">
        <v>22</v>
      </c>
      <c r="D500" t="s">
        <v>23</v>
      </c>
      <c r="E500">
        <v>158401</v>
      </c>
      <c r="F500">
        <v>2</v>
      </c>
      <c r="G500" t="s">
        <v>1039</v>
      </c>
      <c r="H500">
        <v>1769890</v>
      </c>
      <c r="I500">
        <v>24</v>
      </c>
      <c r="J500">
        <v>11.19</v>
      </c>
      <c r="K500" t="s">
        <v>33</v>
      </c>
      <c r="L500">
        <v>1272774.0306001999</v>
      </c>
      <c r="M500">
        <v>1565339.02439741</v>
      </c>
      <c r="N500">
        <v>65222.46</v>
      </c>
      <c r="O500" t="s">
        <v>26</v>
      </c>
      <c r="P500">
        <v>3</v>
      </c>
      <c r="Q500">
        <v>9</v>
      </c>
      <c r="R500" t="s">
        <v>27</v>
      </c>
      <c r="S500">
        <v>9</v>
      </c>
      <c r="T500" t="s">
        <v>41</v>
      </c>
      <c r="U500" t="s">
        <v>29</v>
      </c>
    </row>
    <row r="501" spans="1:21" x14ac:dyDescent="0.25">
      <c r="A501" t="s">
        <v>1040</v>
      </c>
      <c r="B501">
        <v>61</v>
      </c>
      <c r="C501" t="s">
        <v>22</v>
      </c>
      <c r="D501" t="s">
        <v>49</v>
      </c>
      <c r="E501">
        <v>40169</v>
      </c>
      <c r="F501">
        <v>1</v>
      </c>
      <c r="G501" t="s">
        <v>1041</v>
      </c>
      <c r="H501">
        <v>394866</v>
      </c>
      <c r="I501">
        <v>12</v>
      </c>
      <c r="J501">
        <v>9.14</v>
      </c>
      <c r="K501" t="s">
        <v>44</v>
      </c>
      <c r="L501">
        <v>0</v>
      </c>
      <c r="M501">
        <v>188158.08205964699</v>
      </c>
      <c r="N501">
        <v>15679.84</v>
      </c>
      <c r="O501" t="s">
        <v>26</v>
      </c>
      <c r="P501">
        <v>1</v>
      </c>
      <c r="Q501">
        <v>116</v>
      </c>
      <c r="R501" t="s">
        <v>65</v>
      </c>
      <c r="S501">
        <v>6</v>
      </c>
      <c r="T501" t="s">
        <v>28</v>
      </c>
      <c r="U501" t="s">
        <v>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DBD3-BB92-41B1-B216-3F022EC61FE0}">
  <dimension ref="A1:U501"/>
  <sheetViews>
    <sheetView workbookViewId="0">
      <selection sqref="A1:U501"/>
    </sheetView>
  </sheetViews>
  <sheetFormatPr defaultRowHeight="15" x14ac:dyDescent="0.25"/>
  <cols>
    <col min="1" max="1" width="14.140625" customWidth="1"/>
    <col min="3" max="3" width="9.85546875" customWidth="1"/>
    <col min="4" max="4" width="19.7109375" customWidth="1"/>
    <col min="5" max="5" width="18" customWidth="1"/>
    <col min="6" max="6" width="19.42578125" customWidth="1"/>
    <col min="7" max="7" width="10.28515625" customWidth="1"/>
    <col min="8" max="8" width="15.28515625" customWidth="1"/>
    <col min="9" max="9" width="14.5703125" customWidth="1"/>
    <col min="10" max="10" width="15.28515625" customWidth="1"/>
    <col min="11" max="11" width="12.5703125" customWidth="1"/>
    <col min="12" max="12" width="17.85546875" customWidth="1"/>
    <col min="13" max="13" width="27.140625" customWidth="1"/>
    <col min="14" max="14" width="14.5703125" customWidth="1"/>
    <col min="15" max="15" width="18.42578125" customWidth="1"/>
    <col min="16" max="16" width="24.42578125" customWidth="1"/>
    <col min="17" max="17" width="16.85546875" customWidth="1"/>
    <col min="18" max="18" width="18.140625" customWidth="1"/>
    <col min="19" max="19" width="21.7109375" customWidth="1"/>
    <col min="20" max="20" width="20.28515625" customWidth="1"/>
    <col min="21" max="21" width="20.5703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59</v>
      </c>
      <c r="C2" t="s">
        <v>22</v>
      </c>
      <c r="D2" t="s">
        <v>23</v>
      </c>
      <c r="E2">
        <v>215422</v>
      </c>
      <c r="F2">
        <v>0</v>
      </c>
      <c r="G2" t="s">
        <v>24</v>
      </c>
      <c r="H2">
        <v>1445796</v>
      </c>
      <c r="I2">
        <v>60</v>
      </c>
      <c r="J2">
        <v>12.39</v>
      </c>
      <c r="K2" t="s">
        <v>25</v>
      </c>
      <c r="L2">
        <v>1727997.2578966499</v>
      </c>
      <c r="M2">
        <v>291413.005791598</v>
      </c>
      <c r="N2">
        <v>4856.88</v>
      </c>
      <c r="O2" t="s">
        <v>26</v>
      </c>
      <c r="P2">
        <v>0</v>
      </c>
      <c r="Q2">
        <v>0</v>
      </c>
      <c r="R2" t="s">
        <v>27</v>
      </c>
      <c r="S2">
        <v>1</v>
      </c>
      <c r="T2" t="s">
        <v>28</v>
      </c>
      <c r="U2" t="s">
        <v>29</v>
      </c>
    </row>
    <row r="3" spans="1:21" x14ac:dyDescent="0.25">
      <c r="A3" t="s">
        <v>30</v>
      </c>
      <c r="B3">
        <v>49</v>
      </c>
      <c r="C3" t="s">
        <v>31</v>
      </c>
      <c r="D3" t="s">
        <v>23</v>
      </c>
      <c r="E3">
        <v>60893</v>
      </c>
      <c r="F3">
        <v>0</v>
      </c>
      <c r="G3" t="s">
        <v>32</v>
      </c>
      <c r="H3">
        <v>1044620</v>
      </c>
      <c r="I3">
        <v>12</v>
      </c>
      <c r="J3">
        <v>13.47</v>
      </c>
      <c r="K3" t="s">
        <v>33</v>
      </c>
      <c r="L3">
        <v>1180032.3616897501</v>
      </c>
      <c r="M3">
        <v>665204.15391295101</v>
      </c>
      <c r="N3">
        <v>55433.68</v>
      </c>
      <c r="O3" t="s">
        <v>26</v>
      </c>
      <c r="P3">
        <v>0</v>
      </c>
      <c r="Q3">
        <v>0</v>
      </c>
      <c r="R3" t="s">
        <v>34</v>
      </c>
      <c r="S3">
        <v>2</v>
      </c>
      <c r="T3" t="s">
        <v>28</v>
      </c>
      <c r="U3" t="s">
        <v>29</v>
      </c>
    </row>
    <row r="4" spans="1:21" x14ac:dyDescent="0.25">
      <c r="A4" t="s">
        <v>35</v>
      </c>
      <c r="B4">
        <v>35</v>
      </c>
      <c r="C4" t="s">
        <v>22</v>
      </c>
      <c r="D4" t="s">
        <v>23</v>
      </c>
      <c r="E4">
        <v>116520</v>
      </c>
      <c r="F4">
        <v>1</v>
      </c>
      <c r="G4" t="s">
        <v>36</v>
      </c>
      <c r="H4">
        <v>1923410</v>
      </c>
      <c r="I4">
        <v>72</v>
      </c>
      <c r="J4">
        <v>7.74</v>
      </c>
      <c r="K4" t="s">
        <v>25</v>
      </c>
      <c r="L4">
        <v>2622539.93058324</v>
      </c>
      <c r="M4">
        <v>1031371.99739342</v>
      </c>
      <c r="N4">
        <v>14324.61</v>
      </c>
      <c r="O4" t="s">
        <v>37</v>
      </c>
      <c r="P4">
        <v>2</v>
      </c>
      <c r="Q4">
        <v>124</v>
      </c>
      <c r="R4" t="s">
        <v>34</v>
      </c>
      <c r="S4">
        <v>2</v>
      </c>
      <c r="T4" t="s">
        <v>38</v>
      </c>
      <c r="U4" t="s">
        <v>29</v>
      </c>
    </row>
    <row r="5" spans="1:21" x14ac:dyDescent="0.25">
      <c r="A5" t="s">
        <v>39</v>
      </c>
      <c r="B5">
        <v>63</v>
      </c>
      <c r="C5" t="s">
        <v>31</v>
      </c>
      <c r="D5" t="s">
        <v>23</v>
      </c>
      <c r="E5">
        <v>140818</v>
      </c>
      <c r="F5">
        <v>2</v>
      </c>
      <c r="G5" t="s">
        <v>40</v>
      </c>
      <c r="H5">
        <v>1811663</v>
      </c>
      <c r="I5">
        <v>36</v>
      </c>
      <c r="J5">
        <v>12.23</v>
      </c>
      <c r="K5" t="s">
        <v>25</v>
      </c>
      <c r="L5">
        <v>1145492.6801053199</v>
      </c>
      <c r="M5">
        <v>224973.921257009</v>
      </c>
      <c r="N5">
        <v>6249.28</v>
      </c>
      <c r="O5" t="s">
        <v>26</v>
      </c>
      <c r="P5">
        <v>1</v>
      </c>
      <c r="Q5">
        <v>56</v>
      </c>
      <c r="R5" t="s">
        <v>34</v>
      </c>
      <c r="S5">
        <v>2</v>
      </c>
      <c r="T5" t="s">
        <v>41</v>
      </c>
      <c r="U5" t="s">
        <v>29</v>
      </c>
    </row>
    <row r="6" spans="1:21" x14ac:dyDescent="0.25">
      <c r="A6" t="s">
        <v>42</v>
      </c>
      <c r="B6">
        <v>28</v>
      </c>
      <c r="C6" t="s">
        <v>22</v>
      </c>
      <c r="D6" t="s">
        <v>23</v>
      </c>
      <c r="E6">
        <v>76272</v>
      </c>
      <c r="F6">
        <v>1</v>
      </c>
      <c r="G6" t="s">
        <v>43</v>
      </c>
      <c r="H6">
        <v>88578</v>
      </c>
      <c r="I6">
        <v>48</v>
      </c>
      <c r="J6">
        <v>16.13</v>
      </c>
      <c r="K6" t="s">
        <v>44</v>
      </c>
      <c r="L6">
        <v>0</v>
      </c>
      <c r="M6">
        <v>39189.892007881899</v>
      </c>
      <c r="N6">
        <v>816.46</v>
      </c>
      <c r="O6" t="s">
        <v>26</v>
      </c>
      <c r="P6">
        <v>1</v>
      </c>
      <c r="Q6">
        <v>69</v>
      </c>
      <c r="R6" t="s">
        <v>34</v>
      </c>
      <c r="S6">
        <v>0</v>
      </c>
      <c r="T6" t="s">
        <v>45</v>
      </c>
      <c r="U6" t="s">
        <v>29</v>
      </c>
    </row>
    <row r="7" spans="1:21" x14ac:dyDescent="0.25">
      <c r="A7" t="s">
        <v>46</v>
      </c>
      <c r="B7">
        <v>41</v>
      </c>
      <c r="C7" t="s">
        <v>22</v>
      </c>
      <c r="D7" t="s">
        <v>23</v>
      </c>
      <c r="E7">
        <v>238224</v>
      </c>
      <c r="F7">
        <v>3</v>
      </c>
      <c r="G7" t="s">
        <v>47</v>
      </c>
      <c r="H7">
        <v>664741</v>
      </c>
      <c r="I7">
        <v>36</v>
      </c>
      <c r="J7">
        <v>15.86</v>
      </c>
      <c r="K7" t="s">
        <v>33</v>
      </c>
      <c r="L7">
        <v>982214.62782972399</v>
      </c>
      <c r="M7">
        <v>129965.525042383</v>
      </c>
      <c r="N7">
        <v>3610.15</v>
      </c>
      <c r="O7" t="s">
        <v>26</v>
      </c>
      <c r="P7">
        <v>1</v>
      </c>
      <c r="Q7">
        <v>111</v>
      </c>
      <c r="R7" t="s">
        <v>27</v>
      </c>
      <c r="S7">
        <v>6</v>
      </c>
      <c r="T7" t="s">
        <v>38</v>
      </c>
      <c r="U7" t="s">
        <v>29</v>
      </c>
    </row>
    <row r="8" spans="1:21" x14ac:dyDescent="0.25">
      <c r="A8" t="s">
        <v>48</v>
      </c>
      <c r="B8">
        <v>59</v>
      </c>
      <c r="C8" t="s">
        <v>31</v>
      </c>
      <c r="D8" t="s">
        <v>49</v>
      </c>
      <c r="E8">
        <v>82649</v>
      </c>
      <c r="F8">
        <v>1</v>
      </c>
      <c r="G8" t="s">
        <v>50</v>
      </c>
      <c r="H8">
        <v>1514110</v>
      </c>
      <c r="I8">
        <v>60</v>
      </c>
      <c r="J8">
        <v>17.059999999999999</v>
      </c>
      <c r="K8" t="s">
        <v>25</v>
      </c>
      <c r="L8">
        <v>1639218.85925618</v>
      </c>
      <c r="M8">
        <v>875490.42327256605</v>
      </c>
      <c r="N8">
        <v>14591.51</v>
      </c>
      <c r="O8" t="s">
        <v>26</v>
      </c>
      <c r="P8">
        <v>0</v>
      </c>
      <c r="Q8">
        <v>0</v>
      </c>
      <c r="R8" t="s">
        <v>27</v>
      </c>
      <c r="S8">
        <v>8</v>
      </c>
      <c r="T8" t="s">
        <v>45</v>
      </c>
      <c r="U8" t="s">
        <v>29</v>
      </c>
    </row>
    <row r="9" spans="1:21" x14ac:dyDescent="0.25">
      <c r="A9" t="s">
        <v>51</v>
      </c>
      <c r="B9">
        <v>39</v>
      </c>
      <c r="C9" t="s">
        <v>22</v>
      </c>
      <c r="D9" t="s">
        <v>23</v>
      </c>
      <c r="E9">
        <v>79674</v>
      </c>
      <c r="F9">
        <v>0</v>
      </c>
      <c r="G9" t="s">
        <v>52</v>
      </c>
      <c r="H9">
        <v>912147</v>
      </c>
      <c r="I9">
        <v>12</v>
      </c>
      <c r="J9">
        <v>9.76</v>
      </c>
      <c r="K9" t="s">
        <v>44</v>
      </c>
      <c r="L9">
        <v>0</v>
      </c>
      <c r="M9">
        <v>416121.38085230102</v>
      </c>
      <c r="N9">
        <v>34676.78</v>
      </c>
      <c r="O9" t="s">
        <v>37</v>
      </c>
      <c r="P9">
        <v>0</v>
      </c>
      <c r="Q9">
        <v>0</v>
      </c>
      <c r="R9" t="s">
        <v>34</v>
      </c>
      <c r="S9">
        <v>0</v>
      </c>
      <c r="T9" t="s">
        <v>28</v>
      </c>
      <c r="U9" t="s">
        <v>29</v>
      </c>
    </row>
    <row r="10" spans="1:21" x14ac:dyDescent="0.25">
      <c r="A10" t="s">
        <v>53</v>
      </c>
      <c r="B10">
        <v>43</v>
      </c>
      <c r="C10" t="s">
        <v>22</v>
      </c>
      <c r="D10" t="s">
        <v>49</v>
      </c>
      <c r="E10">
        <v>159832</v>
      </c>
      <c r="F10">
        <v>3</v>
      </c>
      <c r="G10" t="s">
        <v>54</v>
      </c>
      <c r="H10">
        <v>258859</v>
      </c>
      <c r="I10">
        <v>72</v>
      </c>
      <c r="J10">
        <v>9.1300000000000008</v>
      </c>
      <c r="K10" t="s">
        <v>25</v>
      </c>
      <c r="L10">
        <v>387116.94360234402</v>
      </c>
      <c r="M10">
        <v>168733.801500595</v>
      </c>
      <c r="N10">
        <v>2343.5300000000002</v>
      </c>
      <c r="O10" t="s">
        <v>26</v>
      </c>
      <c r="P10">
        <v>3</v>
      </c>
      <c r="Q10">
        <v>124</v>
      </c>
      <c r="R10" t="s">
        <v>34</v>
      </c>
      <c r="S10">
        <v>3</v>
      </c>
      <c r="T10" t="s">
        <v>28</v>
      </c>
      <c r="U10" t="s">
        <v>29</v>
      </c>
    </row>
    <row r="11" spans="1:21" x14ac:dyDescent="0.25">
      <c r="A11" t="s">
        <v>55</v>
      </c>
      <c r="B11">
        <v>31</v>
      </c>
      <c r="C11" t="s">
        <v>22</v>
      </c>
      <c r="D11" t="s">
        <v>49</v>
      </c>
      <c r="E11">
        <v>167999</v>
      </c>
      <c r="F11">
        <v>0</v>
      </c>
      <c r="G11" t="s">
        <v>56</v>
      </c>
      <c r="H11">
        <v>161435</v>
      </c>
      <c r="I11">
        <v>60</v>
      </c>
      <c r="J11">
        <v>14.74</v>
      </c>
      <c r="K11" t="s">
        <v>44</v>
      </c>
      <c r="L11">
        <v>0</v>
      </c>
      <c r="M11">
        <v>133190.65476845601</v>
      </c>
      <c r="N11">
        <v>2219.84</v>
      </c>
      <c r="O11" t="s">
        <v>37</v>
      </c>
      <c r="P11">
        <v>0</v>
      </c>
      <c r="Q11">
        <v>0</v>
      </c>
      <c r="R11" t="s">
        <v>27</v>
      </c>
      <c r="S11">
        <v>6</v>
      </c>
      <c r="T11" t="s">
        <v>38</v>
      </c>
      <c r="U11" t="s">
        <v>29</v>
      </c>
    </row>
    <row r="12" spans="1:21" x14ac:dyDescent="0.25">
      <c r="A12" t="s">
        <v>57</v>
      </c>
      <c r="B12">
        <v>31</v>
      </c>
      <c r="C12" t="s">
        <v>22</v>
      </c>
      <c r="D12" t="s">
        <v>58</v>
      </c>
      <c r="E12">
        <v>101475</v>
      </c>
      <c r="F12">
        <v>2</v>
      </c>
      <c r="G12" t="s">
        <v>59</v>
      </c>
      <c r="H12">
        <v>790389</v>
      </c>
      <c r="I12">
        <v>24</v>
      </c>
      <c r="J12">
        <v>10.6</v>
      </c>
      <c r="K12" t="s">
        <v>33</v>
      </c>
      <c r="L12">
        <v>1115645.71266238</v>
      </c>
      <c r="M12">
        <v>292208.24821751303</v>
      </c>
      <c r="N12">
        <v>12175.34</v>
      </c>
      <c r="O12" t="s">
        <v>26</v>
      </c>
      <c r="P12">
        <v>0</v>
      </c>
      <c r="Q12">
        <v>0</v>
      </c>
      <c r="R12" t="s">
        <v>34</v>
      </c>
      <c r="S12">
        <v>0</v>
      </c>
      <c r="T12" t="s">
        <v>41</v>
      </c>
      <c r="U12" t="s">
        <v>29</v>
      </c>
    </row>
    <row r="13" spans="1:21" x14ac:dyDescent="0.25">
      <c r="A13" t="s">
        <v>60</v>
      </c>
      <c r="B13">
        <v>44</v>
      </c>
      <c r="C13" t="s">
        <v>31</v>
      </c>
      <c r="D13" t="s">
        <v>49</v>
      </c>
      <c r="E13">
        <v>76367</v>
      </c>
      <c r="F13">
        <v>0</v>
      </c>
      <c r="G13" t="s">
        <v>61</v>
      </c>
      <c r="H13">
        <v>1250114</v>
      </c>
      <c r="I13">
        <v>60</v>
      </c>
      <c r="J13">
        <v>6.14</v>
      </c>
      <c r="K13" t="s">
        <v>25</v>
      </c>
      <c r="L13">
        <v>901978.84311040305</v>
      </c>
      <c r="M13">
        <v>1207474.9788615401</v>
      </c>
      <c r="N13">
        <v>20124.580000000002</v>
      </c>
      <c r="O13" t="s">
        <v>26</v>
      </c>
      <c r="P13">
        <v>0</v>
      </c>
      <c r="Q13">
        <v>0</v>
      </c>
      <c r="R13" t="s">
        <v>34</v>
      </c>
      <c r="S13">
        <v>1</v>
      </c>
      <c r="T13" t="s">
        <v>28</v>
      </c>
      <c r="U13" t="s">
        <v>29</v>
      </c>
    </row>
    <row r="14" spans="1:21" x14ac:dyDescent="0.25">
      <c r="A14" t="s">
        <v>62</v>
      </c>
      <c r="B14">
        <v>56</v>
      </c>
      <c r="C14" t="s">
        <v>22</v>
      </c>
      <c r="D14" t="s">
        <v>49</v>
      </c>
      <c r="E14">
        <v>244027</v>
      </c>
      <c r="F14">
        <v>0</v>
      </c>
      <c r="G14" t="s">
        <v>63</v>
      </c>
      <c r="H14">
        <v>1980750</v>
      </c>
      <c r="I14">
        <v>60</v>
      </c>
      <c r="J14">
        <v>8.68</v>
      </c>
      <c r="K14" t="s">
        <v>64</v>
      </c>
      <c r="L14">
        <v>1101617.90111599</v>
      </c>
      <c r="M14">
        <v>1152937.2333349499</v>
      </c>
      <c r="N14">
        <v>19215.62</v>
      </c>
      <c r="O14" t="s">
        <v>37</v>
      </c>
      <c r="P14">
        <v>1</v>
      </c>
      <c r="Q14">
        <v>7</v>
      </c>
      <c r="R14" t="s">
        <v>65</v>
      </c>
      <c r="S14">
        <v>8</v>
      </c>
      <c r="T14" t="s">
        <v>45</v>
      </c>
      <c r="U14" t="s">
        <v>29</v>
      </c>
    </row>
    <row r="15" spans="1:21" x14ac:dyDescent="0.25">
      <c r="A15" t="s">
        <v>66</v>
      </c>
      <c r="B15">
        <v>60</v>
      </c>
      <c r="C15" t="s">
        <v>22</v>
      </c>
      <c r="D15" t="s">
        <v>58</v>
      </c>
      <c r="E15">
        <v>158660</v>
      </c>
      <c r="F15">
        <v>1</v>
      </c>
      <c r="G15" t="s">
        <v>67</v>
      </c>
      <c r="H15">
        <v>95475</v>
      </c>
      <c r="I15">
        <v>48</v>
      </c>
      <c r="J15">
        <v>10.44</v>
      </c>
      <c r="K15" t="s">
        <v>44</v>
      </c>
      <c r="L15">
        <v>0</v>
      </c>
      <c r="M15">
        <v>62675.682610001997</v>
      </c>
      <c r="N15">
        <v>1305.74</v>
      </c>
      <c r="O15" t="s">
        <v>68</v>
      </c>
      <c r="P15">
        <v>3</v>
      </c>
      <c r="Q15">
        <v>99</v>
      </c>
      <c r="R15" t="s">
        <v>34</v>
      </c>
      <c r="S15">
        <v>2</v>
      </c>
      <c r="T15" t="s">
        <v>45</v>
      </c>
      <c r="U15" t="s">
        <v>29</v>
      </c>
    </row>
    <row r="16" spans="1:21" x14ac:dyDescent="0.25">
      <c r="A16" t="s">
        <v>69</v>
      </c>
      <c r="B16">
        <v>44</v>
      </c>
      <c r="C16" t="s">
        <v>22</v>
      </c>
      <c r="D16" t="s">
        <v>58</v>
      </c>
      <c r="E16">
        <v>136750</v>
      </c>
      <c r="F16">
        <v>0</v>
      </c>
      <c r="G16" t="s">
        <v>70</v>
      </c>
      <c r="H16">
        <v>896574</v>
      </c>
      <c r="I16">
        <v>36</v>
      </c>
      <c r="J16">
        <v>8.8000000000000007</v>
      </c>
      <c r="K16" t="s">
        <v>33</v>
      </c>
      <c r="L16">
        <v>677486.36488048197</v>
      </c>
      <c r="M16">
        <v>638903.237117243</v>
      </c>
      <c r="N16">
        <v>17747.310000000001</v>
      </c>
      <c r="O16" t="s">
        <v>37</v>
      </c>
      <c r="P16">
        <v>0</v>
      </c>
      <c r="Q16">
        <v>0</v>
      </c>
      <c r="R16" t="s">
        <v>65</v>
      </c>
      <c r="S16">
        <v>9</v>
      </c>
      <c r="T16" t="s">
        <v>38</v>
      </c>
      <c r="U16" t="s">
        <v>29</v>
      </c>
    </row>
    <row r="17" spans="1:21" x14ac:dyDescent="0.25">
      <c r="A17" t="s">
        <v>71</v>
      </c>
      <c r="B17">
        <v>23</v>
      </c>
      <c r="C17" t="s">
        <v>31</v>
      </c>
      <c r="D17" t="s">
        <v>23</v>
      </c>
      <c r="E17">
        <v>247750</v>
      </c>
      <c r="F17">
        <v>3</v>
      </c>
      <c r="G17" t="s">
        <v>72</v>
      </c>
      <c r="H17">
        <v>1839096</v>
      </c>
      <c r="I17">
        <v>36</v>
      </c>
      <c r="J17">
        <v>9.32</v>
      </c>
      <c r="K17" t="s">
        <v>25</v>
      </c>
      <c r="L17">
        <v>1889788.1966202401</v>
      </c>
      <c r="M17">
        <v>1287474.5606714799</v>
      </c>
      <c r="N17">
        <v>35763.18</v>
      </c>
      <c r="O17" t="s">
        <v>26</v>
      </c>
      <c r="P17">
        <v>1</v>
      </c>
      <c r="Q17">
        <v>86</v>
      </c>
      <c r="R17" t="s">
        <v>34</v>
      </c>
      <c r="S17">
        <v>3</v>
      </c>
      <c r="T17" t="s">
        <v>45</v>
      </c>
      <c r="U17" t="s">
        <v>29</v>
      </c>
    </row>
    <row r="18" spans="1:21" x14ac:dyDescent="0.25">
      <c r="A18" t="s">
        <v>73</v>
      </c>
      <c r="B18">
        <v>42</v>
      </c>
      <c r="C18" t="s">
        <v>22</v>
      </c>
      <c r="D18" t="s">
        <v>23</v>
      </c>
      <c r="E18">
        <v>133154</v>
      </c>
      <c r="F18">
        <v>3</v>
      </c>
      <c r="G18" t="s">
        <v>74</v>
      </c>
      <c r="H18">
        <v>1256212</v>
      </c>
      <c r="I18">
        <v>24</v>
      </c>
      <c r="J18">
        <v>8.82</v>
      </c>
      <c r="K18" t="s">
        <v>33</v>
      </c>
      <c r="L18">
        <v>843667.41546369705</v>
      </c>
      <c r="M18">
        <v>703320.02115591103</v>
      </c>
      <c r="N18">
        <v>29305</v>
      </c>
      <c r="O18" t="s">
        <v>26</v>
      </c>
      <c r="P18">
        <v>3</v>
      </c>
      <c r="Q18">
        <v>171</v>
      </c>
      <c r="R18" t="s">
        <v>34</v>
      </c>
      <c r="S18">
        <v>3</v>
      </c>
      <c r="T18" t="s">
        <v>41</v>
      </c>
      <c r="U18" t="s">
        <v>29</v>
      </c>
    </row>
    <row r="19" spans="1:21" x14ac:dyDescent="0.25">
      <c r="A19" t="s">
        <v>75</v>
      </c>
      <c r="B19">
        <v>22</v>
      </c>
      <c r="C19" t="s">
        <v>22</v>
      </c>
      <c r="D19" t="s">
        <v>23</v>
      </c>
      <c r="E19">
        <v>198305</v>
      </c>
      <c r="F19">
        <v>2</v>
      </c>
      <c r="G19" t="s">
        <v>76</v>
      </c>
      <c r="H19">
        <v>1252060</v>
      </c>
      <c r="I19">
        <v>36</v>
      </c>
      <c r="J19">
        <v>5.54</v>
      </c>
      <c r="K19" t="s">
        <v>44</v>
      </c>
      <c r="L19">
        <v>0</v>
      </c>
      <c r="M19">
        <v>608360.756499746</v>
      </c>
      <c r="N19">
        <v>16898.91</v>
      </c>
      <c r="O19" t="s">
        <v>37</v>
      </c>
      <c r="P19">
        <v>1</v>
      </c>
      <c r="Q19">
        <v>173</v>
      </c>
      <c r="R19" t="s">
        <v>34</v>
      </c>
      <c r="S19">
        <v>0</v>
      </c>
      <c r="T19" t="s">
        <v>28</v>
      </c>
      <c r="U19" t="s">
        <v>29</v>
      </c>
    </row>
    <row r="20" spans="1:21" x14ac:dyDescent="0.25">
      <c r="A20" t="s">
        <v>77</v>
      </c>
      <c r="B20">
        <v>44</v>
      </c>
      <c r="C20" t="s">
        <v>31</v>
      </c>
      <c r="D20" t="s">
        <v>23</v>
      </c>
      <c r="E20">
        <v>59738</v>
      </c>
      <c r="F20">
        <v>3</v>
      </c>
      <c r="G20" t="s">
        <v>78</v>
      </c>
      <c r="H20">
        <v>1192102</v>
      </c>
      <c r="I20">
        <v>72</v>
      </c>
      <c r="J20">
        <v>13.28</v>
      </c>
      <c r="K20" t="s">
        <v>25</v>
      </c>
      <c r="L20">
        <v>795680.09635938297</v>
      </c>
      <c r="M20">
        <v>176912.428353803</v>
      </c>
      <c r="N20">
        <v>2457.12</v>
      </c>
      <c r="O20" t="s">
        <v>26</v>
      </c>
      <c r="P20">
        <v>3</v>
      </c>
      <c r="Q20">
        <v>103</v>
      </c>
      <c r="R20" t="s">
        <v>65</v>
      </c>
      <c r="S20">
        <v>3</v>
      </c>
      <c r="T20" t="s">
        <v>45</v>
      </c>
      <c r="U20" t="s">
        <v>79</v>
      </c>
    </row>
    <row r="21" spans="1:21" x14ac:dyDescent="0.25">
      <c r="A21" t="s">
        <v>80</v>
      </c>
      <c r="B21">
        <v>64</v>
      </c>
      <c r="C21" t="s">
        <v>31</v>
      </c>
      <c r="D21" t="s">
        <v>49</v>
      </c>
      <c r="E21">
        <v>48397</v>
      </c>
      <c r="F21">
        <v>1</v>
      </c>
      <c r="G21" t="s">
        <v>81</v>
      </c>
      <c r="H21">
        <v>1149577</v>
      </c>
      <c r="I21">
        <v>12</v>
      </c>
      <c r="J21">
        <v>12.76</v>
      </c>
      <c r="K21" t="s">
        <v>33</v>
      </c>
      <c r="L21">
        <v>1106575.4021005</v>
      </c>
      <c r="M21">
        <v>137808.14180541501</v>
      </c>
      <c r="N21">
        <v>11484.01</v>
      </c>
      <c r="O21" t="s">
        <v>26</v>
      </c>
      <c r="P21">
        <v>2</v>
      </c>
      <c r="Q21">
        <v>42</v>
      </c>
      <c r="R21" t="s">
        <v>34</v>
      </c>
      <c r="S21">
        <v>2</v>
      </c>
      <c r="T21" t="s">
        <v>45</v>
      </c>
      <c r="U21" t="s">
        <v>29</v>
      </c>
    </row>
    <row r="22" spans="1:21" x14ac:dyDescent="0.25">
      <c r="A22" t="s">
        <v>82</v>
      </c>
      <c r="B22">
        <v>50</v>
      </c>
      <c r="C22" t="s">
        <v>22</v>
      </c>
      <c r="D22" t="s">
        <v>49</v>
      </c>
      <c r="E22">
        <v>97189</v>
      </c>
      <c r="F22">
        <v>2</v>
      </c>
      <c r="G22" t="s">
        <v>83</v>
      </c>
      <c r="H22">
        <v>894081</v>
      </c>
      <c r="I22">
        <v>60</v>
      </c>
      <c r="J22">
        <v>13.49</v>
      </c>
      <c r="K22" t="s">
        <v>44</v>
      </c>
      <c r="L22">
        <v>0</v>
      </c>
      <c r="M22">
        <v>377449.77249214402</v>
      </c>
      <c r="N22">
        <v>6290.83</v>
      </c>
      <c r="O22" t="s">
        <v>37</v>
      </c>
      <c r="P22">
        <v>0</v>
      </c>
      <c r="Q22">
        <v>0</v>
      </c>
      <c r="R22" t="s">
        <v>34</v>
      </c>
      <c r="S22">
        <v>1</v>
      </c>
      <c r="T22" t="s">
        <v>28</v>
      </c>
      <c r="U22" t="s">
        <v>29</v>
      </c>
    </row>
    <row r="23" spans="1:21" x14ac:dyDescent="0.25">
      <c r="A23" t="s">
        <v>84</v>
      </c>
      <c r="B23">
        <v>58</v>
      </c>
      <c r="C23" t="s">
        <v>22</v>
      </c>
      <c r="D23" t="s">
        <v>49</v>
      </c>
      <c r="E23">
        <v>91367</v>
      </c>
      <c r="F23">
        <v>3</v>
      </c>
      <c r="G23" t="s">
        <v>85</v>
      </c>
      <c r="H23">
        <v>242029</v>
      </c>
      <c r="I23">
        <v>36</v>
      </c>
      <c r="J23">
        <v>7.5</v>
      </c>
      <c r="K23" t="s">
        <v>44</v>
      </c>
      <c r="L23">
        <v>0</v>
      </c>
      <c r="M23">
        <v>96882.950529263806</v>
      </c>
      <c r="N23">
        <v>2691.19</v>
      </c>
      <c r="O23" t="s">
        <v>37</v>
      </c>
      <c r="P23">
        <v>1</v>
      </c>
      <c r="Q23">
        <v>119</v>
      </c>
      <c r="R23" t="s">
        <v>65</v>
      </c>
      <c r="S23">
        <v>4</v>
      </c>
      <c r="T23" t="s">
        <v>38</v>
      </c>
      <c r="U23" t="s">
        <v>29</v>
      </c>
    </row>
    <row r="24" spans="1:21" x14ac:dyDescent="0.25">
      <c r="A24" t="s">
        <v>86</v>
      </c>
      <c r="B24">
        <v>22</v>
      </c>
      <c r="C24" t="s">
        <v>22</v>
      </c>
      <c r="D24" t="s">
        <v>23</v>
      </c>
      <c r="E24">
        <v>217332</v>
      </c>
      <c r="F24">
        <v>1</v>
      </c>
      <c r="G24" t="s">
        <v>87</v>
      </c>
      <c r="H24">
        <v>478733</v>
      </c>
      <c r="I24">
        <v>48</v>
      </c>
      <c r="J24">
        <v>8.84</v>
      </c>
      <c r="K24" t="s">
        <v>25</v>
      </c>
      <c r="L24">
        <v>255292.97564182</v>
      </c>
      <c r="M24">
        <v>214915.51810538801</v>
      </c>
      <c r="N24">
        <v>4477.41</v>
      </c>
      <c r="O24" t="s">
        <v>68</v>
      </c>
      <c r="P24">
        <v>11</v>
      </c>
      <c r="Q24">
        <v>32</v>
      </c>
      <c r="R24" t="s">
        <v>34</v>
      </c>
      <c r="S24">
        <v>3</v>
      </c>
      <c r="T24" t="s">
        <v>45</v>
      </c>
      <c r="U24" t="s">
        <v>29</v>
      </c>
    </row>
    <row r="25" spans="1:21" x14ac:dyDescent="0.25">
      <c r="A25" t="s">
        <v>88</v>
      </c>
      <c r="B25">
        <v>41</v>
      </c>
      <c r="C25" t="s">
        <v>22</v>
      </c>
      <c r="D25" t="s">
        <v>49</v>
      </c>
      <c r="E25">
        <v>135585</v>
      </c>
      <c r="F25">
        <v>3</v>
      </c>
      <c r="G25" t="s">
        <v>89</v>
      </c>
      <c r="H25">
        <v>718516</v>
      </c>
      <c r="I25">
        <v>60</v>
      </c>
      <c r="J25">
        <v>13.06</v>
      </c>
      <c r="K25" t="s">
        <v>25</v>
      </c>
      <c r="L25">
        <v>446836.53750875703</v>
      </c>
      <c r="M25">
        <v>161329.38960644099</v>
      </c>
      <c r="N25">
        <v>2688.82</v>
      </c>
      <c r="O25" t="s">
        <v>68</v>
      </c>
      <c r="P25">
        <v>6</v>
      </c>
      <c r="Q25">
        <v>159</v>
      </c>
      <c r="R25" t="s">
        <v>34</v>
      </c>
      <c r="S25">
        <v>3</v>
      </c>
      <c r="T25" t="s">
        <v>38</v>
      </c>
      <c r="U25" t="s">
        <v>29</v>
      </c>
    </row>
    <row r="26" spans="1:21" x14ac:dyDescent="0.25">
      <c r="A26" t="s">
        <v>90</v>
      </c>
      <c r="B26">
        <v>53</v>
      </c>
      <c r="C26" t="s">
        <v>22</v>
      </c>
      <c r="D26" t="s">
        <v>49</v>
      </c>
      <c r="E26">
        <v>91619</v>
      </c>
      <c r="F26">
        <v>3</v>
      </c>
      <c r="G26" t="s">
        <v>91</v>
      </c>
      <c r="H26">
        <v>990568</v>
      </c>
      <c r="I26">
        <v>72</v>
      </c>
      <c r="J26">
        <v>12.8</v>
      </c>
      <c r="K26" t="s">
        <v>44</v>
      </c>
      <c r="L26">
        <v>0</v>
      </c>
      <c r="M26">
        <v>757142.080668226</v>
      </c>
      <c r="N26">
        <v>10515.86</v>
      </c>
      <c r="O26" t="s">
        <v>37</v>
      </c>
      <c r="P26">
        <v>2</v>
      </c>
      <c r="Q26">
        <v>136</v>
      </c>
      <c r="R26" t="s">
        <v>34</v>
      </c>
      <c r="S26">
        <v>0</v>
      </c>
      <c r="T26" t="s">
        <v>38</v>
      </c>
      <c r="U26" t="s">
        <v>29</v>
      </c>
    </row>
    <row r="27" spans="1:21" x14ac:dyDescent="0.25">
      <c r="A27" t="s">
        <v>92</v>
      </c>
      <c r="B27">
        <v>32</v>
      </c>
      <c r="C27" t="s">
        <v>22</v>
      </c>
      <c r="D27" t="s">
        <v>49</v>
      </c>
      <c r="E27">
        <v>126453</v>
      </c>
      <c r="F27">
        <v>0</v>
      </c>
      <c r="G27" t="s">
        <v>93</v>
      </c>
      <c r="H27">
        <v>1648575</v>
      </c>
      <c r="I27">
        <v>36</v>
      </c>
      <c r="J27">
        <v>11.58</v>
      </c>
      <c r="K27" t="s">
        <v>44</v>
      </c>
      <c r="L27">
        <v>0</v>
      </c>
      <c r="M27">
        <v>1436350.59908076</v>
      </c>
      <c r="N27">
        <v>39898.629999999997</v>
      </c>
      <c r="O27" t="s">
        <v>26</v>
      </c>
      <c r="P27">
        <v>2</v>
      </c>
      <c r="Q27">
        <v>6</v>
      </c>
      <c r="R27" t="s">
        <v>27</v>
      </c>
      <c r="S27">
        <v>0</v>
      </c>
      <c r="T27" t="s">
        <v>45</v>
      </c>
      <c r="U27" t="s">
        <v>29</v>
      </c>
    </row>
    <row r="28" spans="1:21" x14ac:dyDescent="0.25">
      <c r="A28" t="s">
        <v>94</v>
      </c>
      <c r="B28">
        <v>42</v>
      </c>
      <c r="C28" t="s">
        <v>22</v>
      </c>
      <c r="D28" t="s">
        <v>58</v>
      </c>
      <c r="E28">
        <v>34816</v>
      </c>
      <c r="F28">
        <v>3</v>
      </c>
      <c r="G28" t="s">
        <v>95</v>
      </c>
      <c r="H28">
        <v>1652970</v>
      </c>
      <c r="I28">
        <v>48</v>
      </c>
      <c r="J28">
        <v>9.56</v>
      </c>
      <c r="K28" t="s">
        <v>44</v>
      </c>
      <c r="L28">
        <v>0</v>
      </c>
      <c r="M28">
        <v>1561797.4177508</v>
      </c>
      <c r="N28">
        <v>32537.45</v>
      </c>
      <c r="O28" t="s">
        <v>26</v>
      </c>
      <c r="P28">
        <v>1</v>
      </c>
      <c r="Q28">
        <v>100</v>
      </c>
      <c r="R28" t="s">
        <v>34</v>
      </c>
      <c r="S28">
        <v>1</v>
      </c>
      <c r="T28" t="s">
        <v>41</v>
      </c>
      <c r="U28" t="s">
        <v>29</v>
      </c>
    </row>
    <row r="29" spans="1:21" x14ac:dyDescent="0.25">
      <c r="A29" t="s">
        <v>96</v>
      </c>
      <c r="B29">
        <v>64</v>
      </c>
      <c r="C29" t="s">
        <v>22</v>
      </c>
      <c r="D29" t="s">
        <v>49</v>
      </c>
      <c r="E29">
        <v>188312</v>
      </c>
      <c r="F29">
        <v>3</v>
      </c>
      <c r="G29" t="s">
        <v>97</v>
      </c>
      <c r="H29">
        <v>1950466</v>
      </c>
      <c r="I29">
        <v>36</v>
      </c>
      <c r="J29">
        <v>16.87</v>
      </c>
      <c r="K29" t="s">
        <v>33</v>
      </c>
      <c r="L29">
        <v>1786356.4032296599</v>
      </c>
      <c r="M29">
        <v>1059348.9394270401</v>
      </c>
      <c r="N29">
        <v>29426.36</v>
      </c>
      <c r="O29" t="s">
        <v>26</v>
      </c>
      <c r="P29">
        <v>1</v>
      </c>
      <c r="Q29">
        <v>151</v>
      </c>
      <c r="R29" t="s">
        <v>34</v>
      </c>
      <c r="S29">
        <v>1</v>
      </c>
      <c r="T29" t="s">
        <v>38</v>
      </c>
      <c r="U29" t="s">
        <v>29</v>
      </c>
    </row>
    <row r="30" spans="1:21" x14ac:dyDescent="0.25">
      <c r="A30" t="s">
        <v>98</v>
      </c>
      <c r="B30">
        <v>45</v>
      </c>
      <c r="C30" t="s">
        <v>31</v>
      </c>
      <c r="D30" t="s">
        <v>23</v>
      </c>
      <c r="E30">
        <v>152348</v>
      </c>
      <c r="F30">
        <v>1</v>
      </c>
      <c r="G30" t="s">
        <v>99</v>
      </c>
      <c r="H30">
        <v>1581064</v>
      </c>
      <c r="I30">
        <v>12</v>
      </c>
      <c r="J30">
        <v>9.42</v>
      </c>
      <c r="K30" t="s">
        <v>25</v>
      </c>
      <c r="L30">
        <v>890344.42677198397</v>
      </c>
      <c r="M30">
        <v>1155408.5731498401</v>
      </c>
      <c r="N30">
        <v>96284.05</v>
      </c>
      <c r="O30" t="s">
        <v>26</v>
      </c>
      <c r="P30">
        <v>2</v>
      </c>
      <c r="Q30">
        <v>144</v>
      </c>
      <c r="R30" t="s">
        <v>34</v>
      </c>
      <c r="S30">
        <v>2</v>
      </c>
      <c r="T30" t="s">
        <v>45</v>
      </c>
      <c r="U30" t="s">
        <v>29</v>
      </c>
    </row>
    <row r="31" spans="1:21" x14ac:dyDescent="0.25">
      <c r="A31" t="s">
        <v>100</v>
      </c>
      <c r="B31">
        <v>47</v>
      </c>
      <c r="C31" t="s">
        <v>31</v>
      </c>
      <c r="D31" t="s">
        <v>49</v>
      </c>
      <c r="E31">
        <v>94530</v>
      </c>
      <c r="F31">
        <v>1</v>
      </c>
      <c r="G31" t="s">
        <v>101</v>
      </c>
      <c r="H31">
        <v>1491149</v>
      </c>
      <c r="I31">
        <v>36</v>
      </c>
      <c r="J31">
        <v>10.92</v>
      </c>
      <c r="K31" t="s">
        <v>33</v>
      </c>
      <c r="L31">
        <v>1337195.4056786101</v>
      </c>
      <c r="M31">
        <v>1297293.6819442499</v>
      </c>
      <c r="N31">
        <v>36035.94</v>
      </c>
      <c r="O31" t="s">
        <v>26</v>
      </c>
      <c r="P31">
        <v>0</v>
      </c>
      <c r="Q31">
        <v>0</v>
      </c>
      <c r="R31" t="s">
        <v>34</v>
      </c>
      <c r="S31">
        <v>0</v>
      </c>
      <c r="T31" t="s">
        <v>38</v>
      </c>
      <c r="U31" t="s">
        <v>29</v>
      </c>
    </row>
    <row r="32" spans="1:21" x14ac:dyDescent="0.25">
      <c r="A32" t="s">
        <v>102</v>
      </c>
      <c r="B32">
        <v>62</v>
      </c>
      <c r="C32" t="s">
        <v>22</v>
      </c>
      <c r="D32" t="s">
        <v>23</v>
      </c>
      <c r="E32">
        <v>169571</v>
      </c>
      <c r="F32">
        <v>0</v>
      </c>
      <c r="G32" t="s">
        <v>103</v>
      </c>
      <c r="H32">
        <v>267583</v>
      </c>
      <c r="I32">
        <v>48</v>
      </c>
      <c r="J32">
        <v>13.82</v>
      </c>
      <c r="K32" t="s">
        <v>64</v>
      </c>
      <c r="L32">
        <v>260627.51866128299</v>
      </c>
      <c r="M32">
        <v>127493.131341755</v>
      </c>
      <c r="N32">
        <v>2656.11</v>
      </c>
      <c r="O32" t="s">
        <v>26</v>
      </c>
      <c r="P32">
        <v>0</v>
      </c>
      <c r="Q32">
        <v>0</v>
      </c>
      <c r="R32" t="s">
        <v>65</v>
      </c>
      <c r="S32">
        <v>8</v>
      </c>
      <c r="T32" t="s">
        <v>28</v>
      </c>
      <c r="U32" t="s">
        <v>79</v>
      </c>
    </row>
    <row r="33" spans="1:21" x14ac:dyDescent="0.25">
      <c r="A33" t="s">
        <v>104</v>
      </c>
      <c r="B33">
        <v>48</v>
      </c>
      <c r="C33" t="s">
        <v>31</v>
      </c>
      <c r="D33" t="s">
        <v>23</v>
      </c>
      <c r="E33">
        <v>234648</v>
      </c>
      <c r="F33">
        <v>3</v>
      </c>
      <c r="G33" t="s">
        <v>105</v>
      </c>
      <c r="H33">
        <v>413898</v>
      </c>
      <c r="I33">
        <v>36</v>
      </c>
      <c r="J33">
        <v>12.06</v>
      </c>
      <c r="K33" t="s">
        <v>25</v>
      </c>
      <c r="L33">
        <v>393727.34903163399</v>
      </c>
      <c r="M33">
        <v>156648.603274158</v>
      </c>
      <c r="N33">
        <v>4351.3500000000004</v>
      </c>
      <c r="O33" t="s">
        <v>26</v>
      </c>
      <c r="P33">
        <v>3</v>
      </c>
      <c r="Q33">
        <v>169</v>
      </c>
      <c r="R33" t="s">
        <v>65</v>
      </c>
      <c r="S33">
        <v>6</v>
      </c>
      <c r="T33" t="s">
        <v>41</v>
      </c>
      <c r="U33" t="s">
        <v>29</v>
      </c>
    </row>
    <row r="34" spans="1:21" x14ac:dyDescent="0.25">
      <c r="A34" t="s">
        <v>106</v>
      </c>
      <c r="B34">
        <v>36</v>
      </c>
      <c r="C34" t="s">
        <v>31</v>
      </c>
      <c r="D34" t="s">
        <v>49</v>
      </c>
      <c r="E34">
        <v>123856</v>
      </c>
      <c r="F34">
        <v>0</v>
      </c>
      <c r="G34" t="s">
        <v>107</v>
      </c>
      <c r="H34">
        <v>188286</v>
      </c>
      <c r="I34">
        <v>60</v>
      </c>
      <c r="J34">
        <v>9.51</v>
      </c>
      <c r="K34" t="s">
        <v>44</v>
      </c>
      <c r="L34">
        <v>0</v>
      </c>
      <c r="M34">
        <v>177563.50775108699</v>
      </c>
      <c r="N34">
        <v>2959.39</v>
      </c>
      <c r="O34" t="s">
        <v>26</v>
      </c>
      <c r="P34">
        <v>0</v>
      </c>
      <c r="Q34">
        <v>0</v>
      </c>
      <c r="R34" t="s">
        <v>27</v>
      </c>
      <c r="S34">
        <v>1</v>
      </c>
      <c r="T34" t="s">
        <v>41</v>
      </c>
      <c r="U34" t="s">
        <v>29</v>
      </c>
    </row>
    <row r="35" spans="1:21" x14ac:dyDescent="0.25">
      <c r="A35" t="s">
        <v>108</v>
      </c>
      <c r="B35">
        <v>35</v>
      </c>
      <c r="C35" t="s">
        <v>22</v>
      </c>
      <c r="D35" t="s">
        <v>23</v>
      </c>
      <c r="E35">
        <v>228567</v>
      </c>
      <c r="F35">
        <v>3</v>
      </c>
      <c r="G35" t="s">
        <v>109</v>
      </c>
      <c r="H35">
        <v>277189</v>
      </c>
      <c r="I35">
        <v>36</v>
      </c>
      <c r="J35">
        <v>10.66</v>
      </c>
      <c r="K35" t="s">
        <v>44</v>
      </c>
      <c r="L35">
        <v>0</v>
      </c>
      <c r="M35">
        <v>156364.780764853</v>
      </c>
      <c r="N35">
        <v>4343.47</v>
      </c>
      <c r="O35" t="s">
        <v>26</v>
      </c>
      <c r="P35">
        <v>2</v>
      </c>
      <c r="Q35">
        <v>6</v>
      </c>
      <c r="R35" t="s">
        <v>27</v>
      </c>
      <c r="S35">
        <v>3</v>
      </c>
      <c r="T35" t="s">
        <v>28</v>
      </c>
      <c r="U35" t="s">
        <v>29</v>
      </c>
    </row>
    <row r="36" spans="1:21" x14ac:dyDescent="0.25">
      <c r="A36" t="s">
        <v>110</v>
      </c>
      <c r="B36">
        <v>64</v>
      </c>
      <c r="C36" t="s">
        <v>22</v>
      </c>
      <c r="D36" t="s">
        <v>49</v>
      </c>
      <c r="E36">
        <v>86635</v>
      </c>
      <c r="F36">
        <v>2</v>
      </c>
      <c r="G36" t="s">
        <v>111</v>
      </c>
      <c r="H36">
        <v>1225055</v>
      </c>
      <c r="I36">
        <v>48</v>
      </c>
      <c r="J36">
        <v>15.33</v>
      </c>
      <c r="K36" t="s">
        <v>44</v>
      </c>
      <c r="L36">
        <v>0</v>
      </c>
      <c r="M36">
        <v>670752.52403382899</v>
      </c>
      <c r="N36">
        <v>13974.01</v>
      </c>
      <c r="O36" t="s">
        <v>26</v>
      </c>
      <c r="P36">
        <v>2</v>
      </c>
      <c r="Q36">
        <v>21</v>
      </c>
      <c r="R36" t="s">
        <v>27</v>
      </c>
      <c r="S36">
        <v>1</v>
      </c>
      <c r="T36" t="s">
        <v>28</v>
      </c>
      <c r="U36" t="s">
        <v>29</v>
      </c>
    </row>
    <row r="37" spans="1:21" x14ac:dyDescent="0.25">
      <c r="A37" t="s">
        <v>112</v>
      </c>
      <c r="B37">
        <v>23</v>
      </c>
      <c r="C37" t="s">
        <v>22</v>
      </c>
      <c r="D37" t="s">
        <v>23</v>
      </c>
      <c r="E37">
        <v>122803</v>
      </c>
      <c r="F37">
        <v>2</v>
      </c>
      <c r="G37" t="s">
        <v>113</v>
      </c>
      <c r="H37">
        <v>1518919</v>
      </c>
      <c r="I37">
        <v>36</v>
      </c>
      <c r="J37">
        <v>8.6199999999999992</v>
      </c>
      <c r="K37" t="s">
        <v>64</v>
      </c>
      <c r="L37">
        <v>2079665.70523184</v>
      </c>
      <c r="M37">
        <v>395791.53907851601</v>
      </c>
      <c r="N37">
        <v>10994.21</v>
      </c>
      <c r="O37" t="s">
        <v>26</v>
      </c>
      <c r="P37">
        <v>2</v>
      </c>
      <c r="Q37">
        <v>164</v>
      </c>
      <c r="R37" t="s">
        <v>34</v>
      </c>
      <c r="S37">
        <v>3</v>
      </c>
      <c r="T37" t="s">
        <v>38</v>
      </c>
      <c r="U37" t="s">
        <v>29</v>
      </c>
    </row>
    <row r="38" spans="1:21" x14ac:dyDescent="0.25">
      <c r="A38" t="s">
        <v>114</v>
      </c>
      <c r="B38">
        <v>57</v>
      </c>
      <c r="C38" t="s">
        <v>22</v>
      </c>
      <c r="D38" t="s">
        <v>49</v>
      </c>
      <c r="E38">
        <v>231184</v>
      </c>
      <c r="F38">
        <v>0</v>
      </c>
      <c r="G38" t="s">
        <v>115</v>
      </c>
      <c r="H38">
        <v>1234789</v>
      </c>
      <c r="I38">
        <v>60</v>
      </c>
      <c r="J38">
        <v>6.85</v>
      </c>
      <c r="K38" t="s">
        <v>25</v>
      </c>
      <c r="L38">
        <v>1271909.7888108699</v>
      </c>
      <c r="M38">
        <v>243672.66006101901</v>
      </c>
      <c r="N38">
        <v>4061.21</v>
      </c>
      <c r="O38" t="s">
        <v>37</v>
      </c>
      <c r="P38">
        <v>0</v>
      </c>
      <c r="Q38">
        <v>0</v>
      </c>
      <c r="R38" t="s">
        <v>27</v>
      </c>
      <c r="S38">
        <v>1</v>
      </c>
      <c r="T38" t="s">
        <v>28</v>
      </c>
      <c r="U38" t="s">
        <v>29</v>
      </c>
    </row>
    <row r="39" spans="1:21" x14ac:dyDescent="0.25">
      <c r="A39" t="s">
        <v>116</v>
      </c>
      <c r="B39">
        <v>27</v>
      </c>
      <c r="C39" t="s">
        <v>31</v>
      </c>
      <c r="D39" t="s">
        <v>23</v>
      </c>
      <c r="E39">
        <v>50946</v>
      </c>
      <c r="F39">
        <v>0</v>
      </c>
      <c r="G39" t="s">
        <v>117</v>
      </c>
      <c r="H39">
        <v>603172</v>
      </c>
      <c r="I39">
        <v>72</v>
      </c>
      <c r="J39">
        <v>9.07</v>
      </c>
      <c r="K39" t="s">
        <v>44</v>
      </c>
      <c r="L39">
        <v>0</v>
      </c>
      <c r="M39">
        <v>517458.95241211401</v>
      </c>
      <c r="N39">
        <v>7186.93</v>
      </c>
      <c r="O39" t="s">
        <v>26</v>
      </c>
      <c r="P39">
        <v>3</v>
      </c>
      <c r="Q39">
        <v>109</v>
      </c>
      <c r="R39" t="s">
        <v>34</v>
      </c>
      <c r="S39">
        <v>1</v>
      </c>
      <c r="T39" t="s">
        <v>41</v>
      </c>
      <c r="U39" t="s">
        <v>29</v>
      </c>
    </row>
    <row r="40" spans="1:21" x14ac:dyDescent="0.25">
      <c r="A40" t="s">
        <v>118</v>
      </c>
      <c r="B40">
        <v>41</v>
      </c>
      <c r="C40" t="s">
        <v>22</v>
      </c>
      <c r="D40" t="s">
        <v>58</v>
      </c>
      <c r="E40">
        <v>70204</v>
      </c>
      <c r="F40">
        <v>0</v>
      </c>
      <c r="G40" t="s">
        <v>119</v>
      </c>
      <c r="H40">
        <v>1363428</v>
      </c>
      <c r="I40">
        <v>48</v>
      </c>
      <c r="J40">
        <v>16.04</v>
      </c>
      <c r="K40" t="s">
        <v>44</v>
      </c>
      <c r="L40">
        <v>0</v>
      </c>
      <c r="M40">
        <v>889936.53132869594</v>
      </c>
      <c r="N40">
        <v>18540.34</v>
      </c>
      <c r="O40" t="s">
        <v>26</v>
      </c>
      <c r="P40">
        <v>0</v>
      </c>
      <c r="Q40">
        <v>0</v>
      </c>
      <c r="R40" t="s">
        <v>34</v>
      </c>
      <c r="S40">
        <v>3</v>
      </c>
      <c r="T40" t="s">
        <v>28</v>
      </c>
      <c r="U40" t="s">
        <v>29</v>
      </c>
    </row>
    <row r="41" spans="1:21" x14ac:dyDescent="0.25">
      <c r="A41" t="s">
        <v>120</v>
      </c>
      <c r="B41">
        <v>29</v>
      </c>
      <c r="C41" t="s">
        <v>22</v>
      </c>
      <c r="D41" t="s">
        <v>49</v>
      </c>
      <c r="E41">
        <v>197958</v>
      </c>
      <c r="F41">
        <v>1</v>
      </c>
      <c r="G41" t="s">
        <v>121</v>
      </c>
      <c r="H41">
        <v>854807</v>
      </c>
      <c r="I41">
        <v>60</v>
      </c>
      <c r="J41">
        <v>6.16</v>
      </c>
      <c r="K41" t="s">
        <v>25</v>
      </c>
      <c r="L41">
        <v>827436.47518946906</v>
      </c>
      <c r="M41">
        <v>336146.12167272199</v>
      </c>
      <c r="N41">
        <v>5602.44</v>
      </c>
      <c r="O41" t="s">
        <v>37</v>
      </c>
      <c r="P41">
        <v>3</v>
      </c>
      <c r="Q41">
        <v>34</v>
      </c>
      <c r="R41" t="s">
        <v>27</v>
      </c>
      <c r="S41">
        <v>4</v>
      </c>
      <c r="T41" t="s">
        <v>45</v>
      </c>
      <c r="U41" t="s">
        <v>29</v>
      </c>
    </row>
    <row r="42" spans="1:21" x14ac:dyDescent="0.25">
      <c r="A42" t="s">
        <v>122</v>
      </c>
      <c r="B42">
        <v>59</v>
      </c>
      <c r="C42" t="s">
        <v>31</v>
      </c>
      <c r="D42" t="s">
        <v>23</v>
      </c>
      <c r="E42">
        <v>217724</v>
      </c>
      <c r="F42">
        <v>1</v>
      </c>
      <c r="G42" t="s">
        <v>123</v>
      </c>
      <c r="H42">
        <v>1637952</v>
      </c>
      <c r="I42">
        <v>36</v>
      </c>
      <c r="J42">
        <v>17.89</v>
      </c>
      <c r="K42" t="s">
        <v>25</v>
      </c>
      <c r="L42">
        <v>1491698.02990777</v>
      </c>
      <c r="M42">
        <v>446444.44867214002</v>
      </c>
      <c r="N42">
        <v>12401.23</v>
      </c>
      <c r="O42" t="s">
        <v>26</v>
      </c>
      <c r="P42">
        <v>0</v>
      </c>
      <c r="Q42">
        <v>0</v>
      </c>
      <c r="R42" t="s">
        <v>34</v>
      </c>
      <c r="S42">
        <v>2</v>
      </c>
      <c r="T42" t="s">
        <v>45</v>
      </c>
      <c r="U42" t="s">
        <v>29</v>
      </c>
    </row>
    <row r="43" spans="1:21" x14ac:dyDescent="0.25">
      <c r="A43" t="s">
        <v>124</v>
      </c>
      <c r="B43">
        <v>38</v>
      </c>
      <c r="C43" t="s">
        <v>31</v>
      </c>
      <c r="D43" t="s">
        <v>23</v>
      </c>
      <c r="E43">
        <v>30563</v>
      </c>
      <c r="F43">
        <v>1</v>
      </c>
      <c r="G43" t="s">
        <v>125</v>
      </c>
      <c r="H43">
        <v>1418335</v>
      </c>
      <c r="I43">
        <v>48</v>
      </c>
      <c r="J43">
        <v>12.03</v>
      </c>
      <c r="K43" t="s">
        <v>44</v>
      </c>
      <c r="L43">
        <v>0</v>
      </c>
      <c r="M43">
        <v>850926.61138245498</v>
      </c>
      <c r="N43">
        <v>17727.64</v>
      </c>
      <c r="O43" t="s">
        <v>26</v>
      </c>
      <c r="P43">
        <v>2</v>
      </c>
      <c r="Q43">
        <v>118</v>
      </c>
      <c r="R43" t="s">
        <v>27</v>
      </c>
      <c r="S43">
        <v>6</v>
      </c>
      <c r="T43" t="s">
        <v>38</v>
      </c>
      <c r="U43" t="s">
        <v>29</v>
      </c>
    </row>
    <row r="44" spans="1:21" x14ac:dyDescent="0.25">
      <c r="A44" t="s">
        <v>126</v>
      </c>
      <c r="B44">
        <v>24</v>
      </c>
      <c r="C44" t="s">
        <v>22</v>
      </c>
      <c r="D44" t="s">
        <v>58</v>
      </c>
      <c r="E44">
        <v>107324</v>
      </c>
      <c r="F44">
        <v>0</v>
      </c>
      <c r="G44" t="s">
        <v>127</v>
      </c>
      <c r="H44">
        <v>1470858</v>
      </c>
      <c r="I44">
        <v>36</v>
      </c>
      <c r="J44">
        <v>17.8</v>
      </c>
      <c r="K44" t="s">
        <v>64</v>
      </c>
      <c r="L44">
        <v>1938036.8869661801</v>
      </c>
      <c r="M44">
        <v>920061.92216764996</v>
      </c>
      <c r="N44">
        <v>25557.279999999999</v>
      </c>
      <c r="O44" t="s">
        <v>26</v>
      </c>
      <c r="P44">
        <v>2</v>
      </c>
      <c r="Q44">
        <v>46</v>
      </c>
      <c r="R44" t="s">
        <v>34</v>
      </c>
      <c r="S44">
        <v>3</v>
      </c>
      <c r="T44" t="s">
        <v>41</v>
      </c>
      <c r="U44" t="s">
        <v>29</v>
      </c>
    </row>
    <row r="45" spans="1:21" x14ac:dyDescent="0.25">
      <c r="A45" t="s">
        <v>128</v>
      </c>
      <c r="B45">
        <v>45</v>
      </c>
      <c r="C45" t="s">
        <v>31</v>
      </c>
      <c r="D45" t="s">
        <v>23</v>
      </c>
      <c r="E45">
        <v>238536</v>
      </c>
      <c r="F45">
        <v>3</v>
      </c>
      <c r="G45" t="s">
        <v>129</v>
      </c>
      <c r="H45">
        <v>1798982</v>
      </c>
      <c r="I45">
        <v>36</v>
      </c>
      <c r="J45">
        <v>17.21</v>
      </c>
      <c r="K45" t="s">
        <v>25</v>
      </c>
      <c r="L45">
        <v>2509681.71957683</v>
      </c>
      <c r="M45">
        <v>515038.18647953402</v>
      </c>
      <c r="N45">
        <v>14306.62</v>
      </c>
      <c r="O45" t="s">
        <v>26</v>
      </c>
      <c r="P45">
        <v>1</v>
      </c>
      <c r="Q45">
        <v>12</v>
      </c>
      <c r="R45" t="s">
        <v>27</v>
      </c>
      <c r="S45">
        <v>7</v>
      </c>
      <c r="T45" t="s">
        <v>45</v>
      </c>
      <c r="U45" t="s">
        <v>29</v>
      </c>
    </row>
    <row r="46" spans="1:21" x14ac:dyDescent="0.25">
      <c r="A46" t="s">
        <v>130</v>
      </c>
      <c r="B46">
        <v>34</v>
      </c>
      <c r="C46" t="s">
        <v>31</v>
      </c>
      <c r="D46" t="s">
        <v>23</v>
      </c>
      <c r="E46">
        <v>247944</v>
      </c>
      <c r="F46">
        <v>2</v>
      </c>
      <c r="G46" t="s">
        <v>131</v>
      </c>
      <c r="H46">
        <v>322158</v>
      </c>
      <c r="I46">
        <v>60</v>
      </c>
      <c r="J46">
        <v>10.89</v>
      </c>
      <c r="K46" t="s">
        <v>44</v>
      </c>
      <c r="L46">
        <v>0</v>
      </c>
      <c r="M46">
        <v>279074.25563629903</v>
      </c>
      <c r="N46">
        <v>4651.24</v>
      </c>
      <c r="O46" t="s">
        <v>68</v>
      </c>
      <c r="P46">
        <v>11</v>
      </c>
      <c r="Q46">
        <v>66</v>
      </c>
      <c r="R46" t="s">
        <v>34</v>
      </c>
      <c r="S46">
        <v>1</v>
      </c>
      <c r="T46" t="s">
        <v>28</v>
      </c>
      <c r="U46" t="s">
        <v>29</v>
      </c>
    </row>
    <row r="47" spans="1:21" x14ac:dyDescent="0.25">
      <c r="A47" t="s">
        <v>132</v>
      </c>
      <c r="B47">
        <v>29</v>
      </c>
      <c r="C47" t="s">
        <v>31</v>
      </c>
      <c r="D47" t="s">
        <v>23</v>
      </c>
      <c r="E47">
        <v>24847</v>
      </c>
      <c r="F47">
        <v>0</v>
      </c>
      <c r="G47" t="s">
        <v>133</v>
      </c>
      <c r="H47">
        <v>1818361</v>
      </c>
      <c r="I47">
        <v>72</v>
      </c>
      <c r="J47">
        <v>7.58</v>
      </c>
      <c r="K47" t="s">
        <v>33</v>
      </c>
      <c r="L47">
        <v>2460683.3295317399</v>
      </c>
      <c r="M47">
        <v>319736.83339676802</v>
      </c>
      <c r="N47">
        <v>4440.79</v>
      </c>
      <c r="O47" t="s">
        <v>26</v>
      </c>
      <c r="P47">
        <v>0</v>
      </c>
      <c r="Q47">
        <v>0</v>
      </c>
      <c r="R47" t="s">
        <v>27</v>
      </c>
      <c r="S47">
        <v>7</v>
      </c>
      <c r="T47" t="s">
        <v>45</v>
      </c>
      <c r="U47" t="s">
        <v>29</v>
      </c>
    </row>
    <row r="48" spans="1:21" x14ac:dyDescent="0.25">
      <c r="A48" t="s">
        <v>134</v>
      </c>
      <c r="B48">
        <v>46</v>
      </c>
      <c r="C48" t="s">
        <v>22</v>
      </c>
      <c r="D48" t="s">
        <v>23</v>
      </c>
      <c r="E48">
        <v>41155</v>
      </c>
      <c r="F48">
        <v>1</v>
      </c>
      <c r="G48" t="s">
        <v>135</v>
      </c>
      <c r="H48">
        <v>1495065</v>
      </c>
      <c r="I48">
        <v>24</v>
      </c>
      <c r="J48">
        <v>7.14</v>
      </c>
      <c r="K48" t="s">
        <v>44</v>
      </c>
      <c r="L48">
        <v>0</v>
      </c>
      <c r="M48">
        <v>628650.57753690297</v>
      </c>
      <c r="N48">
        <v>26193.77</v>
      </c>
      <c r="O48" t="s">
        <v>37</v>
      </c>
      <c r="P48">
        <v>0</v>
      </c>
      <c r="Q48">
        <v>0</v>
      </c>
      <c r="R48" t="s">
        <v>27</v>
      </c>
      <c r="S48">
        <v>8</v>
      </c>
      <c r="T48" t="s">
        <v>45</v>
      </c>
      <c r="U48" t="s">
        <v>29</v>
      </c>
    </row>
    <row r="49" spans="1:21" x14ac:dyDescent="0.25">
      <c r="A49" t="s">
        <v>136</v>
      </c>
      <c r="B49">
        <v>22</v>
      </c>
      <c r="C49" t="s">
        <v>31</v>
      </c>
      <c r="D49" t="s">
        <v>49</v>
      </c>
      <c r="E49">
        <v>94671</v>
      </c>
      <c r="F49">
        <v>1</v>
      </c>
      <c r="G49" t="s">
        <v>137</v>
      </c>
      <c r="H49">
        <v>752495</v>
      </c>
      <c r="I49">
        <v>48</v>
      </c>
      <c r="J49">
        <v>8.1199999999999992</v>
      </c>
      <c r="K49" t="s">
        <v>64</v>
      </c>
      <c r="L49">
        <v>883087.93231098098</v>
      </c>
      <c r="M49">
        <v>536036.78249080596</v>
      </c>
      <c r="N49">
        <v>11167.43</v>
      </c>
      <c r="O49" t="s">
        <v>26</v>
      </c>
      <c r="P49">
        <v>1</v>
      </c>
      <c r="Q49">
        <v>97</v>
      </c>
      <c r="R49" t="s">
        <v>34</v>
      </c>
      <c r="S49">
        <v>1</v>
      </c>
      <c r="T49" t="s">
        <v>38</v>
      </c>
      <c r="U49" t="s">
        <v>29</v>
      </c>
    </row>
    <row r="50" spans="1:21" x14ac:dyDescent="0.25">
      <c r="A50" t="s">
        <v>138</v>
      </c>
      <c r="B50">
        <v>40</v>
      </c>
      <c r="C50" t="s">
        <v>22</v>
      </c>
      <c r="D50" t="s">
        <v>49</v>
      </c>
      <c r="E50">
        <v>131891</v>
      </c>
      <c r="F50">
        <v>0</v>
      </c>
      <c r="G50" t="s">
        <v>139</v>
      </c>
      <c r="H50">
        <v>1463562</v>
      </c>
      <c r="I50">
        <v>48</v>
      </c>
      <c r="J50">
        <v>14.23</v>
      </c>
      <c r="K50" t="s">
        <v>64</v>
      </c>
      <c r="L50">
        <v>932818.43165340496</v>
      </c>
      <c r="M50">
        <v>507429.13312076102</v>
      </c>
      <c r="N50">
        <v>10571.44</v>
      </c>
      <c r="O50" t="s">
        <v>26</v>
      </c>
      <c r="P50">
        <v>2</v>
      </c>
      <c r="Q50">
        <v>83</v>
      </c>
      <c r="R50" t="s">
        <v>34</v>
      </c>
      <c r="S50">
        <v>3</v>
      </c>
      <c r="T50" t="s">
        <v>28</v>
      </c>
      <c r="U50" t="s">
        <v>29</v>
      </c>
    </row>
    <row r="51" spans="1:21" x14ac:dyDescent="0.25">
      <c r="A51" t="s">
        <v>140</v>
      </c>
      <c r="B51">
        <v>48</v>
      </c>
      <c r="C51" t="s">
        <v>31</v>
      </c>
      <c r="D51" t="s">
        <v>23</v>
      </c>
      <c r="E51">
        <v>98310</v>
      </c>
      <c r="F51">
        <v>0</v>
      </c>
      <c r="G51" t="s">
        <v>141</v>
      </c>
      <c r="H51">
        <v>1588814</v>
      </c>
      <c r="I51">
        <v>24</v>
      </c>
      <c r="J51">
        <v>8.5500000000000007</v>
      </c>
      <c r="K51" t="s">
        <v>33</v>
      </c>
      <c r="L51">
        <v>1234301.88370848</v>
      </c>
      <c r="M51">
        <v>1342401.1432290899</v>
      </c>
      <c r="N51">
        <v>55933.38</v>
      </c>
      <c r="O51" t="s">
        <v>26</v>
      </c>
      <c r="P51">
        <v>0</v>
      </c>
      <c r="Q51">
        <v>0</v>
      </c>
      <c r="R51" t="s">
        <v>34</v>
      </c>
      <c r="S51">
        <v>1</v>
      </c>
      <c r="T51" t="s">
        <v>28</v>
      </c>
      <c r="U51" t="s">
        <v>29</v>
      </c>
    </row>
    <row r="52" spans="1:21" x14ac:dyDescent="0.25">
      <c r="A52" t="s">
        <v>142</v>
      </c>
      <c r="B52">
        <v>27</v>
      </c>
      <c r="C52" t="s">
        <v>31</v>
      </c>
      <c r="D52" t="s">
        <v>23</v>
      </c>
      <c r="E52">
        <v>213350</v>
      </c>
      <c r="F52">
        <v>1</v>
      </c>
      <c r="G52" t="s">
        <v>143</v>
      </c>
      <c r="H52">
        <v>128077</v>
      </c>
      <c r="I52">
        <v>24</v>
      </c>
      <c r="J52">
        <v>9.44</v>
      </c>
      <c r="K52" t="s">
        <v>33</v>
      </c>
      <c r="L52">
        <v>69938.119007196598</v>
      </c>
      <c r="M52">
        <v>98091.7464647499</v>
      </c>
      <c r="N52">
        <v>4087.16</v>
      </c>
      <c r="O52" t="s">
        <v>26</v>
      </c>
      <c r="P52">
        <v>1</v>
      </c>
      <c r="Q52">
        <v>54</v>
      </c>
      <c r="R52" t="s">
        <v>34</v>
      </c>
      <c r="S52">
        <v>1</v>
      </c>
      <c r="T52" t="s">
        <v>28</v>
      </c>
      <c r="U52" t="s">
        <v>29</v>
      </c>
    </row>
    <row r="53" spans="1:21" x14ac:dyDescent="0.25">
      <c r="A53" t="s">
        <v>144</v>
      </c>
      <c r="B53">
        <v>64</v>
      </c>
      <c r="C53" t="s">
        <v>31</v>
      </c>
      <c r="D53" t="s">
        <v>49</v>
      </c>
      <c r="E53">
        <v>164381</v>
      </c>
      <c r="F53">
        <v>3</v>
      </c>
      <c r="G53" t="s">
        <v>145</v>
      </c>
      <c r="H53">
        <v>1238360</v>
      </c>
      <c r="I53">
        <v>36</v>
      </c>
      <c r="J53">
        <v>10.83</v>
      </c>
      <c r="K53" t="s">
        <v>44</v>
      </c>
      <c r="L53">
        <v>0</v>
      </c>
      <c r="M53">
        <v>1003220.89679716</v>
      </c>
      <c r="N53">
        <v>27867.25</v>
      </c>
      <c r="O53" t="s">
        <v>26</v>
      </c>
      <c r="P53">
        <v>0</v>
      </c>
      <c r="Q53">
        <v>0</v>
      </c>
      <c r="R53" t="s">
        <v>27</v>
      </c>
      <c r="S53">
        <v>1</v>
      </c>
      <c r="T53" t="s">
        <v>38</v>
      </c>
      <c r="U53" t="s">
        <v>29</v>
      </c>
    </row>
    <row r="54" spans="1:21" x14ac:dyDescent="0.25">
      <c r="A54" t="s">
        <v>146</v>
      </c>
      <c r="B54">
        <v>28</v>
      </c>
      <c r="C54" t="s">
        <v>31</v>
      </c>
      <c r="D54" t="s">
        <v>23</v>
      </c>
      <c r="E54">
        <v>146691</v>
      </c>
      <c r="F54">
        <v>1</v>
      </c>
      <c r="G54" t="s">
        <v>147</v>
      </c>
      <c r="H54">
        <v>1304352</v>
      </c>
      <c r="I54">
        <v>24</v>
      </c>
      <c r="J54">
        <v>16.87</v>
      </c>
      <c r="K54" t="s">
        <v>64</v>
      </c>
      <c r="L54">
        <v>1866298.24386151</v>
      </c>
      <c r="M54">
        <v>270256.36345548002</v>
      </c>
      <c r="N54">
        <v>11260.68</v>
      </c>
      <c r="O54" t="s">
        <v>26</v>
      </c>
      <c r="P54">
        <v>3</v>
      </c>
      <c r="Q54">
        <v>116</v>
      </c>
      <c r="R54" t="s">
        <v>65</v>
      </c>
      <c r="S54">
        <v>4</v>
      </c>
      <c r="T54" t="s">
        <v>28</v>
      </c>
      <c r="U54" t="s">
        <v>79</v>
      </c>
    </row>
    <row r="55" spans="1:21" x14ac:dyDescent="0.25">
      <c r="A55" t="s">
        <v>148</v>
      </c>
      <c r="B55">
        <v>55</v>
      </c>
      <c r="C55" t="s">
        <v>31</v>
      </c>
      <c r="D55" t="s">
        <v>23</v>
      </c>
      <c r="E55">
        <v>229266</v>
      </c>
      <c r="F55">
        <v>1</v>
      </c>
      <c r="G55" t="s">
        <v>149</v>
      </c>
      <c r="H55">
        <v>365018</v>
      </c>
      <c r="I55">
        <v>24</v>
      </c>
      <c r="J55">
        <v>7.46</v>
      </c>
      <c r="K55" t="s">
        <v>25</v>
      </c>
      <c r="L55">
        <v>423712.35771071701</v>
      </c>
      <c r="M55">
        <v>82673.808410009398</v>
      </c>
      <c r="N55">
        <v>3444.74</v>
      </c>
      <c r="O55" t="s">
        <v>26</v>
      </c>
      <c r="P55">
        <v>2</v>
      </c>
      <c r="Q55">
        <v>83</v>
      </c>
      <c r="R55" t="s">
        <v>34</v>
      </c>
      <c r="S55">
        <v>3</v>
      </c>
      <c r="T55" t="s">
        <v>28</v>
      </c>
      <c r="U55" t="s">
        <v>29</v>
      </c>
    </row>
    <row r="56" spans="1:21" x14ac:dyDescent="0.25">
      <c r="A56" t="s">
        <v>150</v>
      </c>
      <c r="B56">
        <v>34</v>
      </c>
      <c r="C56" t="s">
        <v>31</v>
      </c>
      <c r="D56" t="s">
        <v>58</v>
      </c>
      <c r="E56">
        <v>196180</v>
      </c>
      <c r="F56">
        <v>0</v>
      </c>
      <c r="G56" t="s">
        <v>151</v>
      </c>
      <c r="H56">
        <v>119087</v>
      </c>
      <c r="I56">
        <v>36</v>
      </c>
      <c r="J56">
        <v>5.07</v>
      </c>
      <c r="K56" t="s">
        <v>33</v>
      </c>
      <c r="L56">
        <v>148425.61680421099</v>
      </c>
      <c r="M56">
        <v>42612.468206110301</v>
      </c>
      <c r="N56">
        <v>1183.68</v>
      </c>
      <c r="O56" t="s">
        <v>37</v>
      </c>
      <c r="P56">
        <v>3</v>
      </c>
      <c r="Q56">
        <v>86</v>
      </c>
      <c r="R56" t="s">
        <v>27</v>
      </c>
      <c r="S56">
        <v>5</v>
      </c>
      <c r="T56" t="s">
        <v>45</v>
      </c>
      <c r="U56" t="s">
        <v>29</v>
      </c>
    </row>
    <row r="57" spans="1:21" x14ac:dyDescent="0.25">
      <c r="A57" t="s">
        <v>152</v>
      </c>
      <c r="B57">
        <v>37</v>
      </c>
      <c r="C57" t="s">
        <v>22</v>
      </c>
      <c r="D57" t="s">
        <v>49</v>
      </c>
      <c r="E57">
        <v>49707</v>
      </c>
      <c r="F57">
        <v>3</v>
      </c>
      <c r="G57" t="s">
        <v>153</v>
      </c>
      <c r="H57">
        <v>1897305</v>
      </c>
      <c r="I57">
        <v>36</v>
      </c>
      <c r="J57">
        <v>5.78</v>
      </c>
      <c r="K57" t="s">
        <v>64</v>
      </c>
      <c r="L57">
        <v>1539799.11936806</v>
      </c>
      <c r="M57">
        <v>1074385.8563236401</v>
      </c>
      <c r="N57">
        <v>29844.05</v>
      </c>
      <c r="O57" t="s">
        <v>26</v>
      </c>
      <c r="P57">
        <v>2</v>
      </c>
      <c r="Q57">
        <v>97</v>
      </c>
      <c r="R57" t="s">
        <v>27</v>
      </c>
      <c r="S57">
        <v>8</v>
      </c>
      <c r="T57" t="s">
        <v>45</v>
      </c>
      <c r="U57" t="s">
        <v>29</v>
      </c>
    </row>
    <row r="58" spans="1:21" x14ac:dyDescent="0.25">
      <c r="A58" t="s">
        <v>154</v>
      </c>
      <c r="B58">
        <v>56</v>
      </c>
      <c r="C58" t="s">
        <v>22</v>
      </c>
      <c r="D58" t="s">
        <v>49</v>
      </c>
      <c r="E58">
        <v>166409</v>
      </c>
      <c r="F58">
        <v>1</v>
      </c>
      <c r="G58" t="s">
        <v>155</v>
      </c>
      <c r="H58">
        <v>1863205</v>
      </c>
      <c r="I58">
        <v>60</v>
      </c>
      <c r="J58">
        <v>16.760000000000002</v>
      </c>
      <c r="K58" t="s">
        <v>64</v>
      </c>
      <c r="L58">
        <v>2507228.37097476</v>
      </c>
      <c r="M58">
        <v>1440657.0647680401</v>
      </c>
      <c r="N58">
        <v>24010.95</v>
      </c>
      <c r="O58" t="s">
        <v>37</v>
      </c>
      <c r="P58">
        <v>1</v>
      </c>
      <c r="Q58">
        <v>71</v>
      </c>
      <c r="R58" t="s">
        <v>34</v>
      </c>
      <c r="S58">
        <v>2</v>
      </c>
      <c r="T58" t="s">
        <v>28</v>
      </c>
      <c r="U58" t="s">
        <v>29</v>
      </c>
    </row>
    <row r="59" spans="1:21" x14ac:dyDescent="0.25">
      <c r="A59" t="s">
        <v>156</v>
      </c>
      <c r="B59">
        <v>60</v>
      </c>
      <c r="C59" t="s">
        <v>22</v>
      </c>
      <c r="D59" t="s">
        <v>49</v>
      </c>
      <c r="E59">
        <v>96537</v>
      </c>
      <c r="F59">
        <v>1</v>
      </c>
      <c r="G59" t="s">
        <v>157</v>
      </c>
      <c r="H59">
        <v>863560</v>
      </c>
      <c r="I59">
        <v>48</v>
      </c>
      <c r="J59">
        <v>13.42</v>
      </c>
      <c r="K59" t="s">
        <v>33</v>
      </c>
      <c r="L59">
        <v>655963.01167929405</v>
      </c>
      <c r="M59">
        <v>736511.15442293696</v>
      </c>
      <c r="N59">
        <v>15343.98</v>
      </c>
      <c r="O59" t="s">
        <v>37</v>
      </c>
      <c r="P59">
        <v>2</v>
      </c>
      <c r="Q59">
        <v>107</v>
      </c>
      <c r="R59" t="s">
        <v>27</v>
      </c>
      <c r="S59">
        <v>0</v>
      </c>
      <c r="T59" t="s">
        <v>41</v>
      </c>
      <c r="U59" t="s">
        <v>29</v>
      </c>
    </row>
    <row r="60" spans="1:21" x14ac:dyDescent="0.25">
      <c r="A60" t="s">
        <v>158</v>
      </c>
      <c r="B60">
        <v>24</v>
      </c>
      <c r="C60" t="s">
        <v>31</v>
      </c>
      <c r="D60" t="s">
        <v>23</v>
      </c>
      <c r="E60">
        <v>212576</v>
      </c>
      <c r="F60">
        <v>2</v>
      </c>
      <c r="G60" t="s">
        <v>159</v>
      </c>
      <c r="H60">
        <v>1691232</v>
      </c>
      <c r="I60">
        <v>72</v>
      </c>
      <c r="J60">
        <v>8.5500000000000007</v>
      </c>
      <c r="K60" t="s">
        <v>44</v>
      </c>
      <c r="L60">
        <v>0</v>
      </c>
      <c r="M60">
        <v>1241198.1825691999</v>
      </c>
      <c r="N60">
        <v>17238.86</v>
      </c>
      <c r="O60" t="s">
        <v>26</v>
      </c>
      <c r="P60">
        <v>2</v>
      </c>
      <c r="Q60">
        <v>64</v>
      </c>
      <c r="R60" t="s">
        <v>27</v>
      </c>
      <c r="S60">
        <v>4</v>
      </c>
      <c r="T60" t="s">
        <v>41</v>
      </c>
      <c r="U60" t="s">
        <v>29</v>
      </c>
    </row>
    <row r="61" spans="1:21" x14ac:dyDescent="0.25">
      <c r="A61" t="s">
        <v>160</v>
      </c>
      <c r="B61">
        <v>22</v>
      </c>
      <c r="C61" t="s">
        <v>22</v>
      </c>
      <c r="D61" t="s">
        <v>49</v>
      </c>
      <c r="E61">
        <v>193686</v>
      </c>
      <c r="F61">
        <v>0</v>
      </c>
      <c r="G61" t="s">
        <v>161</v>
      </c>
      <c r="H61">
        <v>793859</v>
      </c>
      <c r="I61">
        <v>36</v>
      </c>
      <c r="J61">
        <v>7.3</v>
      </c>
      <c r="K61" t="s">
        <v>64</v>
      </c>
      <c r="L61">
        <v>398234.411377532</v>
      </c>
      <c r="M61">
        <v>742843.39259752806</v>
      </c>
      <c r="N61">
        <v>20634.54</v>
      </c>
      <c r="O61" t="s">
        <v>26</v>
      </c>
      <c r="P61">
        <v>1</v>
      </c>
      <c r="Q61">
        <v>20</v>
      </c>
      <c r="R61" t="s">
        <v>34</v>
      </c>
      <c r="S61">
        <v>2</v>
      </c>
      <c r="T61" t="s">
        <v>28</v>
      </c>
      <c r="U61" t="s">
        <v>29</v>
      </c>
    </row>
    <row r="62" spans="1:21" x14ac:dyDescent="0.25">
      <c r="A62" t="s">
        <v>162</v>
      </c>
      <c r="B62">
        <v>26</v>
      </c>
      <c r="C62" t="s">
        <v>22</v>
      </c>
      <c r="D62" t="s">
        <v>23</v>
      </c>
      <c r="E62">
        <v>237500</v>
      </c>
      <c r="F62">
        <v>2</v>
      </c>
      <c r="G62" t="s">
        <v>163</v>
      </c>
      <c r="H62">
        <v>1439678</v>
      </c>
      <c r="I62">
        <v>60</v>
      </c>
      <c r="J62">
        <v>8.83</v>
      </c>
      <c r="K62" t="s">
        <v>25</v>
      </c>
      <c r="L62">
        <v>1261755.34041187</v>
      </c>
      <c r="M62">
        <v>1101165.3005931601</v>
      </c>
      <c r="N62">
        <v>18352.759999999998</v>
      </c>
      <c r="O62" t="s">
        <v>26</v>
      </c>
      <c r="P62">
        <v>2</v>
      </c>
      <c r="Q62">
        <v>120</v>
      </c>
      <c r="R62" t="s">
        <v>34</v>
      </c>
      <c r="S62">
        <v>3</v>
      </c>
      <c r="T62" t="s">
        <v>41</v>
      </c>
      <c r="U62" t="s">
        <v>29</v>
      </c>
    </row>
    <row r="63" spans="1:21" x14ac:dyDescent="0.25">
      <c r="A63" t="s">
        <v>164</v>
      </c>
      <c r="B63">
        <v>62</v>
      </c>
      <c r="C63" t="s">
        <v>22</v>
      </c>
      <c r="D63" t="s">
        <v>23</v>
      </c>
      <c r="E63">
        <v>106155</v>
      </c>
      <c r="F63">
        <v>2</v>
      </c>
      <c r="G63" t="s">
        <v>165</v>
      </c>
      <c r="H63">
        <v>345064</v>
      </c>
      <c r="I63">
        <v>72</v>
      </c>
      <c r="J63">
        <v>6.49</v>
      </c>
      <c r="K63" t="s">
        <v>64</v>
      </c>
      <c r="L63">
        <v>369481.239665662</v>
      </c>
      <c r="M63">
        <v>129620.219945224</v>
      </c>
      <c r="N63">
        <v>1800.28</v>
      </c>
      <c r="O63" t="s">
        <v>37</v>
      </c>
      <c r="P63">
        <v>0</v>
      </c>
      <c r="Q63">
        <v>0</v>
      </c>
      <c r="R63" t="s">
        <v>34</v>
      </c>
      <c r="S63">
        <v>1</v>
      </c>
      <c r="T63" t="s">
        <v>38</v>
      </c>
      <c r="U63" t="s">
        <v>29</v>
      </c>
    </row>
    <row r="64" spans="1:21" x14ac:dyDescent="0.25">
      <c r="A64" t="s">
        <v>166</v>
      </c>
      <c r="B64">
        <v>24</v>
      </c>
      <c r="C64" t="s">
        <v>22</v>
      </c>
      <c r="D64" t="s">
        <v>23</v>
      </c>
      <c r="E64">
        <v>15281</v>
      </c>
      <c r="F64">
        <v>1</v>
      </c>
      <c r="G64" t="s">
        <v>167</v>
      </c>
      <c r="H64">
        <v>301514</v>
      </c>
      <c r="I64">
        <v>60</v>
      </c>
      <c r="J64">
        <v>17.239999999999998</v>
      </c>
      <c r="K64" t="s">
        <v>25</v>
      </c>
      <c r="L64">
        <v>295093.21654461703</v>
      </c>
      <c r="M64">
        <v>102084.546529454</v>
      </c>
      <c r="N64">
        <v>1701.41</v>
      </c>
      <c r="O64" t="s">
        <v>26</v>
      </c>
      <c r="P64">
        <v>1</v>
      </c>
      <c r="Q64">
        <v>4</v>
      </c>
      <c r="R64" t="s">
        <v>65</v>
      </c>
      <c r="S64">
        <v>7</v>
      </c>
      <c r="T64" t="s">
        <v>45</v>
      </c>
      <c r="U64" t="s">
        <v>29</v>
      </c>
    </row>
    <row r="65" spans="1:21" x14ac:dyDescent="0.25">
      <c r="A65" t="s">
        <v>168</v>
      </c>
      <c r="B65">
        <v>49</v>
      </c>
      <c r="C65" t="s">
        <v>31</v>
      </c>
      <c r="D65" t="s">
        <v>23</v>
      </c>
      <c r="E65">
        <v>173492</v>
      </c>
      <c r="F65">
        <v>0</v>
      </c>
      <c r="G65" t="s">
        <v>169</v>
      </c>
      <c r="H65">
        <v>978660</v>
      </c>
      <c r="I65">
        <v>36</v>
      </c>
      <c r="J65">
        <v>15.19</v>
      </c>
      <c r="K65" t="s">
        <v>44</v>
      </c>
      <c r="L65">
        <v>0</v>
      </c>
      <c r="M65">
        <v>711068.13307049801</v>
      </c>
      <c r="N65">
        <v>19751.89</v>
      </c>
      <c r="O65" t="s">
        <v>37</v>
      </c>
      <c r="P65">
        <v>1</v>
      </c>
      <c r="Q65">
        <v>138</v>
      </c>
      <c r="R65" t="s">
        <v>65</v>
      </c>
      <c r="S65">
        <v>8</v>
      </c>
      <c r="T65" t="s">
        <v>38</v>
      </c>
      <c r="U65" t="s">
        <v>29</v>
      </c>
    </row>
    <row r="66" spans="1:21" x14ac:dyDescent="0.25">
      <c r="A66" t="s">
        <v>170</v>
      </c>
      <c r="B66">
        <v>38</v>
      </c>
      <c r="C66" t="s">
        <v>31</v>
      </c>
      <c r="D66" t="s">
        <v>49</v>
      </c>
      <c r="E66">
        <v>226968</v>
      </c>
      <c r="F66">
        <v>3</v>
      </c>
      <c r="G66" t="s">
        <v>171</v>
      </c>
      <c r="H66">
        <v>192180</v>
      </c>
      <c r="I66">
        <v>60</v>
      </c>
      <c r="J66">
        <v>11.01</v>
      </c>
      <c r="K66" t="s">
        <v>44</v>
      </c>
      <c r="L66">
        <v>0</v>
      </c>
      <c r="M66">
        <v>52577.279301693103</v>
      </c>
      <c r="N66">
        <v>876.29</v>
      </c>
      <c r="O66" t="s">
        <v>26</v>
      </c>
      <c r="P66">
        <v>1</v>
      </c>
      <c r="Q66">
        <v>13</v>
      </c>
      <c r="R66" t="s">
        <v>27</v>
      </c>
      <c r="S66">
        <v>7</v>
      </c>
      <c r="T66" t="s">
        <v>45</v>
      </c>
      <c r="U66" t="s">
        <v>29</v>
      </c>
    </row>
    <row r="67" spans="1:21" x14ac:dyDescent="0.25">
      <c r="A67" t="s">
        <v>172</v>
      </c>
      <c r="B67">
        <v>46</v>
      </c>
      <c r="C67" t="s">
        <v>22</v>
      </c>
      <c r="D67" t="s">
        <v>23</v>
      </c>
      <c r="E67">
        <v>185102</v>
      </c>
      <c r="F67">
        <v>1</v>
      </c>
      <c r="G67" t="s">
        <v>173</v>
      </c>
      <c r="H67">
        <v>834192</v>
      </c>
      <c r="I67">
        <v>24</v>
      </c>
      <c r="J67">
        <v>16.239999999999998</v>
      </c>
      <c r="K67" t="s">
        <v>25</v>
      </c>
      <c r="L67">
        <v>1136233.0215282601</v>
      </c>
      <c r="M67">
        <v>153026.95811349701</v>
      </c>
      <c r="N67">
        <v>6376.12</v>
      </c>
      <c r="O67" t="s">
        <v>37</v>
      </c>
      <c r="P67">
        <v>3</v>
      </c>
      <c r="Q67">
        <v>89</v>
      </c>
      <c r="R67" t="s">
        <v>34</v>
      </c>
      <c r="S67">
        <v>2</v>
      </c>
      <c r="T67" t="s">
        <v>41</v>
      </c>
      <c r="U67" t="s">
        <v>29</v>
      </c>
    </row>
    <row r="68" spans="1:21" x14ac:dyDescent="0.25">
      <c r="A68" t="s">
        <v>174</v>
      </c>
      <c r="B68">
        <v>64</v>
      </c>
      <c r="C68" t="s">
        <v>31</v>
      </c>
      <c r="D68" t="s">
        <v>23</v>
      </c>
      <c r="E68">
        <v>147130</v>
      </c>
      <c r="F68">
        <v>3</v>
      </c>
      <c r="G68" t="s">
        <v>175</v>
      </c>
      <c r="H68">
        <v>485928</v>
      </c>
      <c r="I68">
        <v>36</v>
      </c>
      <c r="J68">
        <v>8.24</v>
      </c>
      <c r="K68" t="s">
        <v>33</v>
      </c>
      <c r="L68">
        <v>294183.37979410798</v>
      </c>
      <c r="M68">
        <v>281352.59741980903</v>
      </c>
      <c r="N68">
        <v>7815.35</v>
      </c>
      <c r="O68" t="s">
        <v>26</v>
      </c>
      <c r="P68">
        <v>3</v>
      </c>
      <c r="Q68">
        <v>57</v>
      </c>
      <c r="R68" t="s">
        <v>34</v>
      </c>
      <c r="S68">
        <v>2</v>
      </c>
      <c r="T68" t="s">
        <v>41</v>
      </c>
      <c r="U68" t="s">
        <v>29</v>
      </c>
    </row>
    <row r="69" spans="1:21" x14ac:dyDescent="0.25">
      <c r="A69" t="s">
        <v>176</v>
      </c>
      <c r="B69">
        <v>54</v>
      </c>
      <c r="C69" t="s">
        <v>22</v>
      </c>
      <c r="D69" t="s">
        <v>23</v>
      </c>
      <c r="E69">
        <v>232285</v>
      </c>
      <c r="F69">
        <v>3</v>
      </c>
      <c r="G69" t="s">
        <v>177</v>
      </c>
      <c r="H69">
        <v>970114</v>
      </c>
      <c r="I69">
        <v>48</v>
      </c>
      <c r="J69">
        <v>14.32</v>
      </c>
      <c r="K69" t="s">
        <v>44</v>
      </c>
      <c r="L69">
        <v>0</v>
      </c>
      <c r="M69">
        <v>814388.79084208701</v>
      </c>
      <c r="N69">
        <v>16966.43</v>
      </c>
      <c r="O69" t="s">
        <v>37</v>
      </c>
      <c r="P69">
        <v>2</v>
      </c>
      <c r="Q69">
        <v>166</v>
      </c>
      <c r="R69" t="s">
        <v>34</v>
      </c>
      <c r="S69">
        <v>3</v>
      </c>
      <c r="T69" t="s">
        <v>28</v>
      </c>
      <c r="U69" t="s">
        <v>29</v>
      </c>
    </row>
    <row r="70" spans="1:21" x14ac:dyDescent="0.25">
      <c r="A70" t="s">
        <v>178</v>
      </c>
      <c r="B70">
        <v>30</v>
      </c>
      <c r="C70" t="s">
        <v>22</v>
      </c>
      <c r="D70" t="s">
        <v>23</v>
      </c>
      <c r="E70">
        <v>91260</v>
      </c>
      <c r="F70">
        <v>0</v>
      </c>
      <c r="G70" t="s">
        <v>179</v>
      </c>
      <c r="H70">
        <v>651891</v>
      </c>
      <c r="I70">
        <v>48</v>
      </c>
      <c r="J70">
        <v>16.13</v>
      </c>
      <c r="K70" t="s">
        <v>25</v>
      </c>
      <c r="L70">
        <v>686978.01653816004</v>
      </c>
      <c r="M70">
        <v>124668.84619877</v>
      </c>
      <c r="N70">
        <v>2597.27</v>
      </c>
      <c r="O70" t="s">
        <v>26</v>
      </c>
      <c r="P70">
        <v>1</v>
      </c>
      <c r="Q70">
        <v>17</v>
      </c>
      <c r="R70" t="s">
        <v>34</v>
      </c>
      <c r="S70">
        <v>3</v>
      </c>
      <c r="T70" t="s">
        <v>41</v>
      </c>
      <c r="U70" t="s">
        <v>29</v>
      </c>
    </row>
    <row r="71" spans="1:21" x14ac:dyDescent="0.25">
      <c r="A71" t="s">
        <v>180</v>
      </c>
      <c r="B71">
        <v>56</v>
      </c>
      <c r="C71" t="s">
        <v>31</v>
      </c>
      <c r="D71" t="s">
        <v>49</v>
      </c>
      <c r="E71">
        <v>174476</v>
      </c>
      <c r="F71">
        <v>2</v>
      </c>
      <c r="G71" t="s">
        <v>181</v>
      </c>
      <c r="H71">
        <v>1132448</v>
      </c>
      <c r="I71">
        <v>12</v>
      </c>
      <c r="J71">
        <v>9.64</v>
      </c>
      <c r="K71" t="s">
        <v>44</v>
      </c>
      <c r="L71">
        <v>0</v>
      </c>
      <c r="M71">
        <v>920342.97126484301</v>
      </c>
      <c r="N71">
        <v>76695.25</v>
      </c>
      <c r="O71" t="s">
        <v>26</v>
      </c>
      <c r="P71">
        <v>2</v>
      </c>
      <c r="Q71">
        <v>166</v>
      </c>
      <c r="R71" t="s">
        <v>27</v>
      </c>
      <c r="S71">
        <v>5</v>
      </c>
      <c r="T71" t="s">
        <v>41</v>
      </c>
      <c r="U71" t="s">
        <v>29</v>
      </c>
    </row>
    <row r="72" spans="1:21" x14ac:dyDescent="0.25">
      <c r="A72" t="s">
        <v>182</v>
      </c>
      <c r="B72">
        <v>34</v>
      </c>
      <c r="C72" t="s">
        <v>22</v>
      </c>
      <c r="D72" t="s">
        <v>23</v>
      </c>
      <c r="E72">
        <v>249554</v>
      </c>
      <c r="F72">
        <v>0</v>
      </c>
      <c r="G72" t="s">
        <v>183</v>
      </c>
      <c r="H72">
        <v>1371448</v>
      </c>
      <c r="I72">
        <v>72</v>
      </c>
      <c r="J72">
        <v>14.85</v>
      </c>
      <c r="K72" t="s">
        <v>33</v>
      </c>
      <c r="L72">
        <v>1389248.5033531799</v>
      </c>
      <c r="M72">
        <v>1138870.72200153</v>
      </c>
      <c r="N72">
        <v>15817.65</v>
      </c>
      <c r="O72" t="s">
        <v>26</v>
      </c>
      <c r="P72">
        <v>0</v>
      </c>
      <c r="Q72">
        <v>0</v>
      </c>
      <c r="R72" t="s">
        <v>65</v>
      </c>
      <c r="S72">
        <v>3</v>
      </c>
      <c r="T72" t="s">
        <v>28</v>
      </c>
      <c r="U72" t="s">
        <v>79</v>
      </c>
    </row>
    <row r="73" spans="1:21" x14ac:dyDescent="0.25">
      <c r="A73" t="s">
        <v>184</v>
      </c>
      <c r="B73">
        <v>51</v>
      </c>
      <c r="C73" t="s">
        <v>22</v>
      </c>
      <c r="D73" t="s">
        <v>49</v>
      </c>
      <c r="E73">
        <v>175928</v>
      </c>
      <c r="F73">
        <v>3</v>
      </c>
      <c r="G73" t="s">
        <v>185</v>
      </c>
      <c r="H73">
        <v>407246</v>
      </c>
      <c r="I73">
        <v>60</v>
      </c>
      <c r="J73">
        <v>8.84</v>
      </c>
      <c r="K73" t="s">
        <v>25</v>
      </c>
      <c r="L73">
        <v>318219.16641768499</v>
      </c>
      <c r="M73">
        <v>217488.34169348699</v>
      </c>
      <c r="N73">
        <v>3624.81</v>
      </c>
      <c r="O73" t="s">
        <v>26</v>
      </c>
      <c r="P73">
        <v>1</v>
      </c>
      <c r="Q73">
        <v>10</v>
      </c>
      <c r="R73" t="s">
        <v>65</v>
      </c>
      <c r="S73">
        <v>3</v>
      </c>
      <c r="T73" t="s">
        <v>28</v>
      </c>
      <c r="U73" t="s">
        <v>29</v>
      </c>
    </row>
    <row r="74" spans="1:21" x14ac:dyDescent="0.25">
      <c r="A74" t="s">
        <v>186</v>
      </c>
      <c r="B74">
        <v>35</v>
      </c>
      <c r="C74" t="s">
        <v>31</v>
      </c>
      <c r="D74" t="s">
        <v>23</v>
      </c>
      <c r="E74">
        <v>155272</v>
      </c>
      <c r="F74">
        <v>1</v>
      </c>
      <c r="G74" t="s">
        <v>187</v>
      </c>
      <c r="H74">
        <v>1587111</v>
      </c>
      <c r="I74">
        <v>48</v>
      </c>
      <c r="J74">
        <v>8.89</v>
      </c>
      <c r="K74" t="s">
        <v>44</v>
      </c>
      <c r="L74">
        <v>0</v>
      </c>
      <c r="M74">
        <v>240573.141087948</v>
      </c>
      <c r="N74">
        <v>5011.9399999999996</v>
      </c>
      <c r="O74" t="s">
        <v>68</v>
      </c>
      <c r="P74">
        <v>0</v>
      </c>
      <c r="Q74">
        <v>0</v>
      </c>
      <c r="R74" t="s">
        <v>27</v>
      </c>
      <c r="S74">
        <v>9</v>
      </c>
      <c r="T74" t="s">
        <v>45</v>
      </c>
      <c r="U74" t="s">
        <v>29</v>
      </c>
    </row>
    <row r="75" spans="1:21" x14ac:dyDescent="0.25">
      <c r="A75" t="s">
        <v>188</v>
      </c>
      <c r="B75">
        <v>28</v>
      </c>
      <c r="C75" t="s">
        <v>22</v>
      </c>
      <c r="D75" t="s">
        <v>23</v>
      </c>
      <c r="E75">
        <v>79178</v>
      </c>
      <c r="F75">
        <v>3</v>
      </c>
      <c r="G75" t="s">
        <v>189</v>
      </c>
      <c r="H75">
        <v>1482769</v>
      </c>
      <c r="I75">
        <v>72</v>
      </c>
      <c r="J75">
        <v>6.39</v>
      </c>
      <c r="K75" t="s">
        <v>44</v>
      </c>
      <c r="L75">
        <v>0</v>
      </c>
      <c r="M75">
        <v>381265.67722954502</v>
      </c>
      <c r="N75">
        <v>5295.36</v>
      </c>
      <c r="O75" t="s">
        <v>26</v>
      </c>
      <c r="P75">
        <v>2</v>
      </c>
      <c r="Q75">
        <v>7</v>
      </c>
      <c r="R75" t="s">
        <v>34</v>
      </c>
      <c r="S75">
        <v>3</v>
      </c>
      <c r="T75" t="s">
        <v>41</v>
      </c>
      <c r="U75" t="s">
        <v>29</v>
      </c>
    </row>
    <row r="76" spans="1:21" x14ac:dyDescent="0.25">
      <c r="A76" t="s">
        <v>190</v>
      </c>
      <c r="B76">
        <v>34</v>
      </c>
      <c r="C76" t="s">
        <v>22</v>
      </c>
      <c r="D76" t="s">
        <v>49</v>
      </c>
      <c r="E76">
        <v>48997</v>
      </c>
      <c r="F76">
        <v>1</v>
      </c>
      <c r="G76" t="s">
        <v>191</v>
      </c>
      <c r="H76">
        <v>1905591</v>
      </c>
      <c r="I76">
        <v>36</v>
      </c>
      <c r="J76">
        <v>10.72</v>
      </c>
      <c r="K76" t="s">
        <v>44</v>
      </c>
      <c r="L76">
        <v>0</v>
      </c>
      <c r="M76">
        <v>1403817.72880089</v>
      </c>
      <c r="N76">
        <v>38994.94</v>
      </c>
      <c r="O76" t="s">
        <v>26</v>
      </c>
      <c r="P76">
        <v>3</v>
      </c>
      <c r="Q76">
        <v>63</v>
      </c>
      <c r="R76" t="s">
        <v>34</v>
      </c>
      <c r="S76">
        <v>1</v>
      </c>
      <c r="T76" t="s">
        <v>45</v>
      </c>
      <c r="U76" t="s">
        <v>29</v>
      </c>
    </row>
    <row r="77" spans="1:21" x14ac:dyDescent="0.25">
      <c r="A77" t="s">
        <v>192</v>
      </c>
      <c r="B77">
        <v>43</v>
      </c>
      <c r="C77" t="s">
        <v>22</v>
      </c>
      <c r="D77" t="s">
        <v>23</v>
      </c>
      <c r="E77">
        <v>171683</v>
      </c>
      <c r="F77">
        <v>1</v>
      </c>
      <c r="G77" t="s">
        <v>193</v>
      </c>
      <c r="H77">
        <v>135774</v>
      </c>
      <c r="I77">
        <v>72</v>
      </c>
      <c r="J77">
        <v>14.49</v>
      </c>
      <c r="K77" t="s">
        <v>25</v>
      </c>
      <c r="L77">
        <v>179524.19975703099</v>
      </c>
      <c r="M77">
        <v>100554.244832881</v>
      </c>
      <c r="N77">
        <v>1396.59</v>
      </c>
      <c r="O77" t="s">
        <v>26</v>
      </c>
      <c r="P77">
        <v>2</v>
      </c>
      <c r="Q77">
        <v>51</v>
      </c>
      <c r="R77" t="s">
        <v>34</v>
      </c>
      <c r="S77">
        <v>3</v>
      </c>
      <c r="T77" t="s">
        <v>45</v>
      </c>
      <c r="U77" t="s">
        <v>29</v>
      </c>
    </row>
    <row r="78" spans="1:21" x14ac:dyDescent="0.25">
      <c r="A78" t="s">
        <v>194</v>
      </c>
      <c r="B78">
        <v>60</v>
      </c>
      <c r="C78" t="s">
        <v>22</v>
      </c>
      <c r="D78" t="s">
        <v>49</v>
      </c>
      <c r="E78">
        <v>134273</v>
      </c>
      <c r="F78">
        <v>0</v>
      </c>
      <c r="G78" t="s">
        <v>195</v>
      </c>
      <c r="H78">
        <v>438518</v>
      </c>
      <c r="I78">
        <v>48</v>
      </c>
      <c r="J78">
        <v>17.22</v>
      </c>
      <c r="K78" t="s">
        <v>44</v>
      </c>
      <c r="L78">
        <v>0</v>
      </c>
      <c r="M78">
        <v>398402.26270037697</v>
      </c>
      <c r="N78">
        <v>8300.0499999999993</v>
      </c>
      <c r="O78" t="s">
        <v>26</v>
      </c>
      <c r="P78">
        <v>0</v>
      </c>
      <c r="Q78">
        <v>0</v>
      </c>
      <c r="R78" t="s">
        <v>27</v>
      </c>
      <c r="S78">
        <v>0</v>
      </c>
      <c r="T78" t="s">
        <v>38</v>
      </c>
      <c r="U78" t="s">
        <v>29</v>
      </c>
    </row>
    <row r="79" spans="1:21" x14ac:dyDescent="0.25">
      <c r="A79" t="s">
        <v>196</v>
      </c>
      <c r="B79">
        <v>41</v>
      </c>
      <c r="C79" t="s">
        <v>22</v>
      </c>
      <c r="D79" t="s">
        <v>23</v>
      </c>
      <c r="E79">
        <v>187307</v>
      </c>
      <c r="F79">
        <v>3</v>
      </c>
      <c r="G79" t="s">
        <v>197</v>
      </c>
      <c r="H79">
        <v>1297098</v>
      </c>
      <c r="I79">
        <v>24</v>
      </c>
      <c r="J79">
        <v>12.85</v>
      </c>
      <c r="K79" t="s">
        <v>44</v>
      </c>
      <c r="L79">
        <v>0</v>
      </c>
      <c r="M79">
        <v>809930.73179129104</v>
      </c>
      <c r="N79">
        <v>33747.11</v>
      </c>
      <c r="O79" t="s">
        <v>26</v>
      </c>
      <c r="P79">
        <v>1</v>
      </c>
      <c r="Q79">
        <v>5</v>
      </c>
      <c r="R79" t="s">
        <v>27</v>
      </c>
      <c r="S79">
        <v>5</v>
      </c>
      <c r="T79" t="s">
        <v>41</v>
      </c>
      <c r="U79" t="s">
        <v>29</v>
      </c>
    </row>
    <row r="80" spans="1:21" x14ac:dyDescent="0.25">
      <c r="A80" t="s">
        <v>198</v>
      </c>
      <c r="B80">
        <v>36</v>
      </c>
      <c r="C80" t="s">
        <v>22</v>
      </c>
      <c r="D80" t="s">
        <v>23</v>
      </c>
      <c r="E80">
        <v>181129</v>
      </c>
      <c r="F80">
        <v>2</v>
      </c>
      <c r="G80" t="s">
        <v>199</v>
      </c>
      <c r="H80">
        <v>1318933</v>
      </c>
      <c r="I80">
        <v>60</v>
      </c>
      <c r="J80">
        <v>16.22</v>
      </c>
      <c r="K80" t="s">
        <v>64</v>
      </c>
      <c r="L80">
        <v>1652423.4362486899</v>
      </c>
      <c r="M80">
        <v>279213.67253875203</v>
      </c>
      <c r="N80">
        <v>4653.5600000000004</v>
      </c>
      <c r="O80" t="s">
        <v>37</v>
      </c>
      <c r="P80">
        <v>2</v>
      </c>
      <c r="Q80">
        <v>159</v>
      </c>
      <c r="R80" t="s">
        <v>34</v>
      </c>
      <c r="S80">
        <v>3</v>
      </c>
      <c r="T80" t="s">
        <v>41</v>
      </c>
      <c r="U80" t="s">
        <v>29</v>
      </c>
    </row>
    <row r="81" spans="1:21" x14ac:dyDescent="0.25">
      <c r="A81" t="s">
        <v>200</v>
      </c>
      <c r="B81">
        <v>38</v>
      </c>
      <c r="C81" t="s">
        <v>31</v>
      </c>
      <c r="D81" t="s">
        <v>58</v>
      </c>
      <c r="E81">
        <v>147311</v>
      </c>
      <c r="F81">
        <v>3</v>
      </c>
      <c r="G81" t="s">
        <v>201</v>
      </c>
      <c r="H81">
        <v>462672</v>
      </c>
      <c r="I81">
        <v>60</v>
      </c>
      <c r="J81">
        <v>15.69</v>
      </c>
      <c r="K81" t="s">
        <v>33</v>
      </c>
      <c r="L81">
        <v>570409.42592119297</v>
      </c>
      <c r="M81">
        <v>96824.949443816804</v>
      </c>
      <c r="N81">
        <v>1613.75</v>
      </c>
      <c r="O81" t="s">
        <v>26</v>
      </c>
      <c r="P81">
        <v>1</v>
      </c>
      <c r="Q81">
        <v>39</v>
      </c>
      <c r="R81" t="s">
        <v>34</v>
      </c>
      <c r="S81">
        <v>3</v>
      </c>
      <c r="T81" t="s">
        <v>38</v>
      </c>
      <c r="U81" t="s">
        <v>29</v>
      </c>
    </row>
    <row r="82" spans="1:21" x14ac:dyDescent="0.25">
      <c r="A82" t="s">
        <v>202</v>
      </c>
      <c r="B82">
        <v>44</v>
      </c>
      <c r="C82" t="s">
        <v>31</v>
      </c>
      <c r="D82" t="s">
        <v>23</v>
      </c>
      <c r="E82">
        <v>249746</v>
      </c>
      <c r="F82">
        <v>3</v>
      </c>
      <c r="G82" t="s">
        <v>203</v>
      </c>
      <c r="H82">
        <v>1976126</v>
      </c>
      <c r="I82">
        <v>60</v>
      </c>
      <c r="J82">
        <v>7.25</v>
      </c>
      <c r="K82" t="s">
        <v>25</v>
      </c>
      <c r="L82">
        <v>2719529.7373128999</v>
      </c>
      <c r="M82">
        <v>1480156.1607327</v>
      </c>
      <c r="N82">
        <v>24669.27</v>
      </c>
      <c r="O82" t="s">
        <v>68</v>
      </c>
      <c r="P82">
        <v>10</v>
      </c>
      <c r="Q82">
        <v>61</v>
      </c>
      <c r="R82" t="s">
        <v>34</v>
      </c>
      <c r="S82">
        <v>3</v>
      </c>
      <c r="T82" t="s">
        <v>45</v>
      </c>
      <c r="U82" t="s">
        <v>29</v>
      </c>
    </row>
    <row r="83" spans="1:21" x14ac:dyDescent="0.25">
      <c r="A83" t="s">
        <v>204</v>
      </c>
      <c r="B83">
        <v>46</v>
      </c>
      <c r="C83" t="s">
        <v>31</v>
      </c>
      <c r="D83" t="s">
        <v>23</v>
      </c>
      <c r="E83">
        <v>211733</v>
      </c>
      <c r="F83">
        <v>2</v>
      </c>
      <c r="G83" t="s">
        <v>205</v>
      </c>
      <c r="H83">
        <v>1164518</v>
      </c>
      <c r="I83">
        <v>72</v>
      </c>
      <c r="J83">
        <v>11.32</v>
      </c>
      <c r="K83" t="s">
        <v>64</v>
      </c>
      <c r="L83">
        <v>1423954.6775465701</v>
      </c>
      <c r="M83">
        <v>309070.29557791102</v>
      </c>
      <c r="N83">
        <v>4292.6400000000003</v>
      </c>
      <c r="O83" t="s">
        <v>26</v>
      </c>
      <c r="P83">
        <v>3</v>
      </c>
      <c r="Q83">
        <v>32</v>
      </c>
      <c r="R83" t="s">
        <v>34</v>
      </c>
      <c r="S83">
        <v>1</v>
      </c>
      <c r="T83" t="s">
        <v>41</v>
      </c>
      <c r="U83" t="s">
        <v>29</v>
      </c>
    </row>
    <row r="84" spans="1:21" x14ac:dyDescent="0.25">
      <c r="A84" t="s">
        <v>206</v>
      </c>
      <c r="B84">
        <v>45</v>
      </c>
      <c r="C84" t="s">
        <v>31</v>
      </c>
      <c r="D84" t="s">
        <v>49</v>
      </c>
      <c r="E84">
        <v>141945</v>
      </c>
      <c r="F84">
        <v>0</v>
      </c>
      <c r="G84" t="s">
        <v>207</v>
      </c>
      <c r="H84">
        <v>587977</v>
      </c>
      <c r="I84">
        <v>60</v>
      </c>
      <c r="J84">
        <v>6.52</v>
      </c>
      <c r="K84" t="s">
        <v>44</v>
      </c>
      <c r="L84">
        <v>0</v>
      </c>
      <c r="M84">
        <v>232572.508817266</v>
      </c>
      <c r="N84">
        <v>3876.21</v>
      </c>
      <c r="O84" t="s">
        <v>26</v>
      </c>
      <c r="P84">
        <v>3</v>
      </c>
      <c r="Q84">
        <v>121</v>
      </c>
      <c r="R84" t="s">
        <v>34</v>
      </c>
      <c r="S84">
        <v>3</v>
      </c>
      <c r="T84" t="s">
        <v>45</v>
      </c>
      <c r="U84" t="s">
        <v>29</v>
      </c>
    </row>
    <row r="85" spans="1:21" x14ac:dyDescent="0.25">
      <c r="A85" t="s">
        <v>208</v>
      </c>
      <c r="B85">
        <v>61</v>
      </c>
      <c r="C85" t="s">
        <v>31</v>
      </c>
      <c r="D85" t="s">
        <v>23</v>
      </c>
      <c r="E85">
        <v>60272</v>
      </c>
      <c r="F85">
        <v>3</v>
      </c>
      <c r="G85" t="s">
        <v>209</v>
      </c>
      <c r="H85">
        <v>1656140</v>
      </c>
      <c r="I85">
        <v>48</v>
      </c>
      <c r="J85">
        <v>13.87</v>
      </c>
      <c r="K85" t="s">
        <v>25</v>
      </c>
      <c r="L85">
        <v>1212031.63686043</v>
      </c>
      <c r="M85">
        <v>891816.16382929299</v>
      </c>
      <c r="N85">
        <v>18579.5</v>
      </c>
      <c r="O85" t="s">
        <v>37</v>
      </c>
      <c r="P85">
        <v>3</v>
      </c>
      <c r="Q85">
        <v>171</v>
      </c>
      <c r="R85" t="s">
        <v>34</v>
      </c>
      <c r="S85">
        <v>0</v>
      </c>
      <c r="T85" t="s">
        <v>38</v>
      </c>
      <c r="U85" t="s">
        <v>29</v>
      </c>
    </row>
    <row r="86" spans="1:21" x14ac:dyDescent="0.25">
      <c r="A86" t="s">
        <v>210</v>
      </c>
      <c r="B86">
        <v>49</v>
      </c>
      <c r="C86" t="s">
        <v>22</v>
      </c>
      <c r="D86" t="s">
        <v>49</v>
      </c>
      <c r="E86">
        <v>104393</v>
      </c>
      <c r="F86">
        <v>3</v>
      </c>
      <c r="G86" t="s">
        <v>211</v>
      </c>
      <c r="H86">
        <v>1608141</v>
      </c>
      <c r="I86">
        <v>72</v>
      </c>
      <c r="J86">
        <v>17.350000000000001</v>
      </c>
      <c r="K86" t="s">
        <v>25</v>
      </c>
      <c r="L86">
        <v>1938714.8246750501</v>
      </c>
      <c r="M86">
        <v>196656.97349117001</v>
      </c>
      <c r="N86">
        <v>2731.35</v>
      </c>
      <c r="O86" t="s">
        <v>37</v>
      </c>
      <c r="P86">
        <v>1</v>
      </c>
      <c r="Q86">
        <v>29</v>
      </c>
      <c r="R86" t="s">
        <v>34</v>
      </c>
      <c r="S86">
        <v>1</v>
      </c>
      <c r="T86" t="s">
        <v>28</v>
      </c>
      <c r="U86" t="s">
        <v>29</v>
      </c>
    </row>
    <row r="87" spans="1:21" x14ac:dyDescent="0.25">
      <c r="A87" t="s">
        <v>212</v>
      </c>
      <c r="B87">
        <v>35</v>
      </c>
      <c r="C87" t="s">
        <v>22</v>
      </c>
      <c r="D87" t="s">
        <v>23</v>
      </c>
      <c r="E87">
        <v>76212</v>
      </c>
      <c r="F87">
        <v>1</v>
      </c>
      <c r="G87" t="s">
        <v>213</v>
      </c>
      <c r="H87">
        <v>1621128</v>
      </c>
      <c r="I87">
        <v>60</v>
      </c>
      <c r="J87">
        <v>6.78</v>
      </c>
      <c r="K87" t="s">
        <v>25</v>
      </c>
      <c r="L87">
        <v>1309389.6464650501</v>
      </c>
      <c r="M87">
        <v>525143.54247129103</v>
      </c>
      <c r="N87">
        <v>8752.39</v>
      </c>
      <c r="O87" t="s">
        <v>26</v>
      </c>
      <c r="P87">
        <v>2</v>
      </c>
      <c r="Q87">
        <v>144</v>
      </c>
      <c r="R87" t="s">
        <v>27</v>
      </c>
      <c r="S87">
        <v>8</v>
      </c>
      <c r="T87" t="s">
        <v>45</v>
      </c>
      <c r="U87" t="s">
        <v>29</v>
      </c>
    </row>
    <row r="88" spans="1:21" x14ac:dyDescent="0.25">
      <c r="A88" t="s">
        <v>214</v>
      </c>
      <c r="B88">
        <v>21</v>
      </c>
      <c r="C88" t="s">
        <v>22</v>
      </c>
      <c r="D88" t="s">
        <v>58</v>
      </c>
      <c r="E88">
        <v>161470</v>
      </c>
      <c r="F88">
        <v>3</v>
      </c>
      <c r="G88" t="s">
        <v>215</v>
      </c>
      <c r="H88">
        <v>676256</v>
      </c>
      <c r="I88">
        <v>36</v>
      </c>
      <c r="J88">
        <v>14.54</v>
      </c>
      <c r="K88" t="s">
        <v>44</v>
      </c>
      <c r="L88">
        <v>0</v>
      </c>
      <c r="M88">
        <v>315879.61558162898</v>
      </c>
      <c r="N88">
        <v>8774.43</v>
      </c>
      <c r="O88" t="s">
        <v>37</v>
      </c>
      <c r="P88">
        <v>1</v>
      </c>
      <c r="Q88">
        <v>55</v>
      </c>
      <c r="R88" t="s">
        <v>34</v>
      </c>
      <c r="S88">
        <v>2</v>
      </c>
      <c r="T88" t="s">
        <v>41</v>
      </c>
      <c r="U88" t="s">
        <v>29</v>
      </c>
    </row>
    <row r="89" spans="1:21" x14ac:dyDescent="0.25">
      <c r="A89" t="s">
        <v>216</v>
      </c>
      <c r="B89">
        <v>45</v>
      </c>
      <c r="C89" t="s">
        <v>22</v>
      </c>
      <c r="D89" t="s">
        <v>49</v>
      </c>
      <c r="E89">
        <v>135030</v>
      </c>
      <c r="F89">
        <v>2</v>
      </c>
      <c r="G89" t="s">
        <v>217</v>
      </c>
      <c r="H89">
        <v>463089</v>
      </c>
      <c r="I89">
        <v>72</v>
      </c>
      <c r="J89">
        <v>13.22</v>
      </c>
      <c r="K89" t="s">
        <v>25</v>
      </c>
      <c r="L89">
        <v>343692.91665476002</v>
      </c>
      <c r="M89">
        <v>162855.75278523</v>
      </c>
      <c r="N89">
        <v>2261.89</v>
      </c>
      <c r="O89" t="s">
        <v>26</v>
      </c>
      <c r="P89">
        <v>1</v>
      </c>
      <c r="Q89">
        <v>119</v>
      </c>
      <c r="R89" t="s">
        <v>34</v>
      </c>
      <c r="S89">
        <v>0</v>
      </c>
      <c r="T89" t="s">
        <v>28</v>
      </c>
      <c r="U89" t="s">
        <v>29</v>
      </c>
    </row>
    <row r="90" spans="1:21" x14ac:dyDescent="0.25">
      <c r="A90" t="s">
        <v>218</v>
      </c>
      <c r="B90">
        <v>27</v>
      </c>
      <c r="C90" t="s">
        <v>22</v>
      </c>
      <c r="D90" t="s">
        <v>49</v>
      </c>
      <c r="E90">
        <v>71503</v>
      </c>
      <c r="F90">
        <v>1</v>
      </c>
      <c r="G90" t="s">
        <v>219</v>
      </c>
      <c r="H90">
        <v>1898058</v>
      </c>
      <c r="I90">
        <v>24</v>
      </c>
      <c r="J90">
        <v>12.59</v>
      </c>
      <c r="K90" t="s">
        <v>25</v>
      </c>
      <c r="L90">
        <v>1087594.05353188</v>
      </c>
      <c r="M90">
        <v>422760.71191119001</v>
      </c>
      <c r="N90">
        <v>17615.03</v>
      </c>
      <c r="O90" t="s">
        <v>26</v>
      </c>
      <c r="P90">
        <v>2</v>
      </c>
      <c r="Q90">
        <v>179</v>
      </c>
      <c r="R90" t="s">
        <v>34</v>
      </c>
      <c r="S90">
        <v>3</v>
      </c>
      <c r="T90" t="s">
        <v>45</v>
      </c>
      <c r="U90" t="s">
        <v>29</v>
      </c>
    </row>
    <row r="91" spans="1:21" x14ac:dyDescent="0.25">
      <c r="A91" t="s">
        <v>220</v>
      </c>
      <c r="B91">
        <v>29</v>
      </c>
      <c r="C91" t="s">
        <v>22</v>
      </c>
      <c r="D91" t="s">
        <v>58</v>
      </c>
      <c r="E91">
        <v>152710</v>
      </c>
      <c r="F91">
        <v>0</v>
      </c>
      <c r="G91" t="s">
        <v>221</v>
      </c>
      <c r="H91">
        <v>640504</v>
      </c>
      <c r="I91">
        <v>60</v>
      </c>
      <c r="J91">
        <v>10.07</v>
      </c>
      <c r="K91" t="s">
        <v>33</v>
      </c>
      <c r="L91">
        <v>796805.281827008</v>
      </c>
      <c r="M91">
        <v>483715.68685074599</v>
      </c>
      <c r="N91">
        <v>8061.93</v>
      </c>
      <c r="O91" t="s">
        <v>37</v>
      </c>
      <c r="P91">
        <v>3</v>
      </c>
      <c r="Q91">
        <v>65</v>
      </c>
      <c r="R91" t="s">
        <v>34</v>
      </c>
      <c r="S91">
        <v>0</v>
      </c>
      <c r="T91" t="s">
        <v>45</v>
      </c>
      <c r="U91" t="s">
        <v>29</v>
      </c>
    </row>
    <row r="92" spans="1:21" x14ac:dyDescent="0.25">
      <c r="A92" t="s">
        <v>222</v>
      </c>
      <c r="B92">
        <v>44</v>
      </c>
      <c r="C92" t="s">
        <v>31</v>
      </c>
      <c r="D92" t="s">
        <v>23</v>
      </c>
      <c r="E92">
        <v>21570</v>
      </c>
      <c r="F92">
        <v>1</v>
      </c>
      <c r="G92" t="s">
        <v>223</v>
      </c>
      <c r="H92">
        <v>1838380</v>
      </c>
      <c r="I92">
        <v>72</v>
      </c>
      <c r="J92">
        <v>9.6199999999999992</v>
      </c>
      <c r="K92" t="s">
        <v>44</v>
      </c>
      <c r="L92">
        <v>0</v>
      </c>
      <c r="M92">
        <v>1529224.9476769499</v>
      </c>
      <c r="N92">
        <v>21239.24</v>
      </c>
      <c r="O92" t="s">
        <v>26</v>
      </c>
      <c r="P92">
        <v>3</v>
      </c>
      <c r="Q92">
        <v>94</v>
      </c>
      <c r="R92" t="s">
        <v>34</v>
      </c>
      <c r="S92">
        <v>3</v>
      </c>
      <c r="T92" t="s">
        <v>28</v>
      </c>
      <c r="U92" t="s">
        <v>29</v>
      </c>
    </row>
    <row r="93" spans="1:21" x14ac:dyDescent="0.25">
      <c r="A93" t="s">
        <v>224</v>
      </c>
      <c r="B93">
        <v>21</v>
      </c>
      <c r="C93" t="s">
        <v>31</v>
      </c>
      <c r="D93" t="s">
        <v>58</v>
      </c>
      <c r="E93">
        <v>83785</v>
      </c>
      <c r="F93">
        <v>2</v>
      </c>
      <c r="G93" t="s">
        <v>225</v>
      </c>
      <c r="H93">
        <v>396184</v>
      </c>
      <c r="I93">
        <v>60</v>
      </c>
      <c r="J93">
        <v>5.59</v>
      </c>
      <c r="K93" t="s">
        <v>44</v>
      </c>
      <c r="L93">
        <v>0</v>
      </c>
      <c r="M93">
        <v>131426.54561607301</v>
      </c>
      <c r="N93">
        <v>2190.44</v>
      </c>
      <c r="O93" t="s">
        <v>26</v>
      </c>
      <c r="P93">
        <v>2</v>
      </c>
      <c r="Q93">
        <v>42</v>
      </c>
      <c r="R93" t="s">
        <v>34</v>
      </c>
      <c r="S93">
        <v>0</v>
      </c>
      <c r="T93" t="s">
        <v>28</v>
      </c>
      <c r="U93" t="s">
        <v>29</v>
      </c>
    </row>
    <row r="94" spans="1:21" x14ac:dyDescent="0.25">
      <c r="A94" t="s">
        <v>226</v>
      </c>
      <c r="B94">
        <v>64</v>
      </c>
      <c r="C94" t="s">
        <v>22</v>
      </c>
      <c r="D94" t="s">
        <v>23</v>
      </c>
      <c r="E94">
        <v>24110</v>
      </c>
      <c r="F94">
        <v>2</v>
      </c>
      <c r="G94" t="s">
        <v>227</v>
      </c>
      <c r="H94">
        <v>595932</v>
      </c>
      <c r="I94">
        <v>60</v>
      </c>
      <c r="J94">
        <v>7.83</v>
      </c>
      <c r="K94" t="s">
        <v>44</v>
      </c>
      <c r="L94">
        <v>0</v>
      </c>
      <c r="M94">
        <v>474944.42243375099</v>
      </c>
      <c r="N94">
        <v>7915.74</v>
      </c>
      <c r="O94" t="s">
        <v>37</v>
      </c>
      <c r="P94">
        <v>1</v>
      </c>
      <c r="Q94">
        <v>155</v>
      </c>
      <c r="R94" t="s">
        <v>34</v>
      </c>
      <c r="S94">
        <v>1</v>
      </c>
      <c r="T94" t="s">
        <v>28</v>
      </c>
      <c r="U94" t="s">
        <v>29</v>
      </c>
    </row>
    <row r="95" spans="1:21" x14ac:dyDescent="0.25">
      <c r="A95" t="s">
        <v>228</v>
      </c>
      <c r="B95">
        <v>28</v>
      </c>
      <c r="C95" t="s">
        <v>22</v>
      </c>
      <c r="D95" t="s">
        <v>23</v>
      </c>
      <c r="E95">
        <v>94141</v>
      </c>
      <c r="F95">
        <v>1</v>
      </c>
      <c r="G95" t="s">
        <v>229</v>
      </c>
      <c r="H95">
        <v>112021</v>
      </c>
      <c r="I95">
        <v>60</v>
      </c>
      <c r="J95">
        <v>5.2</v>
      </c>
      <c r="K95" t="s">
        <v>44</v>
      </c>
      <c r="L95">
        <v>0</v>
      </c>
      <c r="M95">
        <v>50073.186254019602</v>
      </c>
      <c r="N95">
        <v>834.55</v>
      </c>
      <c r="O95" t="s">
        <v>68</v>
      </c>
      <c r="P95">
        <v>2</v>
      </c>
      <c r="Q95">
        <v>155</v>
      </c>
      <c r="R95" t="s">
        <v>34</v>
      </c>
      <c r="S95">
        <v>3</v>
      </c>
      <c r="T95" t="s">
        <v>41</v>
      </c>
      <c r="U95" t="s">
        <v>29</v>
      </c>
    </row>
    <row r="96" spans="1:21" x14ac:dyDescent="0.25">
      <c r="A96" t="s">
        <v>230</v>
      </c>
      <c r="B96">
        <v>44</v>
      </c>
      <c r="C96" t="s">
        <v>22</v>
      </c>
      <c r="D96" t="s">
        <v>23</v>
      </c>
      <c r="E96">
        <v>27115</v>
      </c>
      <c r="F96">
        <v>0</v>
      </c>
      <c r="G96" t="s">
        <v>231</v>
      </c>
      <c r="H96">
        <v>742485</v>
      </c>
      <c r="I96">
        <v>48</v>
      </c>
      <c r="J96">
        <v>12.56</v>
      </c>
      <c r="K96" t="s">
        <v>25</v>
      </c>
      <c r="L96">
        <v>899150.04923330597</v>
      </c>
      <c r="M96">
        <v>412834.439480011</v>
      </c>
      <c r="N96">
        <v>8600.7199999999993</v>
      </c>
      <c r="O96" t="s">
        <v>26</v>
      </c>
      <c r="P96">
        <v>3</v>
      </c>
      <c r="Q96">
        <v>29</v>
      </c>
      <c r="R96" t="s">
        <v>27</v>
      </c>
      <c r="S96">
        <v>10</v>
      </c>
      <c r="T96" t="s">
        <v>41</v>
      </c>
      <c r="U96" t="s">
        <v>29</v>
      </c>
    </row>
    <row r="97" spans="1:21" x14ac:dyDescent="0.25">
      <c r="A97" t="s">
        <v>232</v>
      </c>
      <c r="B97">
        <v>31</v>
      </c>
      <c r="C97" t="s">
        <v>31</v>
      </c>
      <c r="D97" t="s">
        <v>23</v>
      </c>
      <c r="E97">
        <v>54062</v>
      </c>
      <c r="F97">
        <v>1</v>
      </c>
      <c r="G97" t="s">
        <v>233</v>
      </c>
      <c r="H97">
        <v>510115</v>
      </c>
      <c r="I97">
        <v>72</v>
      </c>
      <c r="J97">
        <v>6.38</v>
      </c>
      <c r="K97" t="s">
        <v>44</v>
      </c>
      <c r="L97">
        <v>0</v>
      </c>
      <c r="M97">
        <v>444004.58948720898</v>
      </c>
      <c r="N97">
        <v>6166.73</v>
      </c>
      <c r="O97" t="s">
        <v>26</v>
      </c>
      <c r="P97">
        <v>0</v>
      </c>
      <c r="Q97">
        <v>0</v>
      </c>
      <c r="R97" t="s">
        <v>34</v>
      </c>
      <c r="S97">
        <v>1</v>
      </c>
      <c r="T97" t="s">
        <v>45</v>
      </c>
      <c r="U97" t="s">
        <v>29</v>
      </c>
    </row>
    <row r="98" spans="1:21" x14ac:dyDescent="0.25">
      <c r="A98" t="s">
        <v>234</v>
      </c>
      <c r="B98">
        <v>37</v>
      </c>
      <c r="C98" t="s">
        <v>31</v>
      </c>
      <c r="D98" t="s">
        <v>23</v>
      </c>
      <c r="E98">
        <v>37911</v>
      </c>
      <c r="F98">
        <v>0</v>
      </c>
      <c r="G98" t="s">
        <v>235</v>
      </c>
      <c r="H98">
        <v>92291</v>
      </c>
      <c r="I98">
        <v>24</v>
      </c>
      <c r="J98">
        <v>16.350000000000001</v>
      </c>
      <c r="K98" t="s">
        <v>33</v>
      </c>
      <c r="L98">
        <v>67787.691294019794</v>
      </c>
      <c r="M98">
        <v>71521.677722503402</v>
      </c>
      <c r="N98">
        <v>2980.07</v>
      </c>
      <c r="O98" t="s">
        <v>26</v>
      </c>
      <c r="P98">
        <v>0</v>
      </c>
      <c r="Q98">
        <v>0</v>
      </c>
      <c r="R98" t="s">
        <v>27</v>
      </c>
      <c r="S98">
        <v>1</v>
      </c>
      <c r="T98" t="s">
        <v>45</v>
      </c>
      <c r="U98" t="s">
        <v>29</v>
      </c>
    </row>
    <row r="99" spans="1:21" x14ac:dyDescent="0.25">
      <c r="A99" t="s">
        <v>236</v>
      </c>
      <c r="B99">
        <v>28</v>
      </c>
      <c r="C99" t="s">
        <v>22</v>
      </c>
      <c r="D99" t="s">
        <v>49</v>
      </c>
      <c r="E99">
        <v>119061</v>
      </c>
      <c r="F99">
        <v>1</v>
      </c>
      <c r="G99" t="s">
        <v>237</v>
      </c>
      <c r="H99">
        <v>478276</v>
      </c>
      <c r="I99">
        <v>24</v>
      </c>
      <c r="J99">
        <v>11.8</v>
      </c>
      <c r="K99" t="s">
        <v>44</v>
      </c>
      <c r="L99">
        <v>0</v>
      </c>
      <c r="M99">
        <v>394388.86046208697</v>
      </c>
      <c r="N99">
        <v>16432.87</v>
      </c>
      <c r="O99" t="s">
        <v>68</v>
      </c>
      <c r="P99">
        <v>1</v>
      </c>
      <c r="Q99">
        <v>41</v>
      </c>
      <c r="R99" t="s">
        <v>34</v>
      </c>
      <c r="S99">
        <v>3</v>
      </c>
      <c r="T99" t="s">
        <v>38</v>
      </c>
      <c r="U99" t="s">
        <v>29</v>
      </c>
    </row>
    <row r="100" spans="1:21" x14ac:dyDescent="0.25">
      <c r="A100" t="s">
        <v>238</v>
      </c>
      <c r="B100">
        <v>55</v>
      </c>
      <c r="C100" t="s">
        <v>31</v>
      </c>
      <c r="D100" t="s">
        <v>49</v>
      </c>
      <c r="E100">
        <v>47556</v>
      </c>
      <c r="F100">
        <v>2</v>
      </c>
      <c r="G100" t="s">
        <v>239</v>
      </c>
      <c r="H100">
        <v>444754</v>
      </c>
      <c r="I100">
        <v>36</v>
      </c>
      <c r="J100">
        <v>14.1</v>
      </c>
      <c r="K100" t="s">
        <v>44</v>
      </c>
      <c r="L100">
        <v>0</v>
      </c>
      <c r="M100">
        <v>99251.5916979537</v>
      </c>
      <c r="N100">
        <v>2756.99</v>
      </c>
      <c r="O100" t="s">
        <v>37</v>
      </c>
      <c r="P100">
        <v>1</v>
      </c>
      <c r="Q100">
        <v>79</v>
      </c>
      <c r="R100" t="s">
        <v>34</v>
      </c>
      <c r="S100">
        <v>2</v>
      </c>
      <c r="T100" t="s">
        <v>41</v>
      </c>
      <c r="U100" t="s">
        <v>29</v>
      </c>
    </row>
    <row r="101" spans="1:21" x14ac:dyDescent="0.25">
      <c r="A101" t="s">
        <v>240</v>
      </c>
      <c r="B101">
        <v>55</v>
      </c>
      <c r="C101" t="s">
        <v>22</v>
      </c>
      <c r="D101" t="s">
        <v>58</v>
      </c>
      <c r="E101">
        <v>224203</v>
      </c>
      <c r="F101">
        <v>3</v>
      </c>
      <c r="G101" t="s">
        <v>241</v>
      </c>
      <c r="H101">
        <v>1003680</v>
      </c>
      <c r="I101">
        <v>48</v>
      </c>
      <c r="J101">
        <v>10.34</v>
      </c>
      <c r="K101" t="s">
        <v>25</v>
      </c>
      <c r="L101">
        <v>1253976.7315056999</v>
      </c>
      <c r="M101">
        <v>163346.39398871799</v>
      </c>
      <c r="N101">
        <v>3403.05</v>
      </c>
      <c r="O101" t="s">
        <v>26</v>
      </c>
      <c r="P101">
        <v>1</v>
      </c>
      <c r="Q101">
        <v>27</v>
      </c>
      <c r="R101" t="s">
        <v>34</v>
      </c>
      <c r="S101">
        <v>2</v>
      </c>
      <c r="T101" t="s">
        <v>45</v>
      </c>
      <c r="U101" t="s">
        <v>29</v>
      </c>
    </row>
    <row r="102" spans="1:21" x14ac:dyDescent="0.25">
      <c r="A102" t="s">
        <v>242</v>
      </c>
      <c r="B102">
        <v>53</v>
      </c>
      <c r="C102" t="s">
        <v>22</v>
      </c>
      <c r="D102" t="s">
        <v>23</v>
      </c>
      <c r="E102">
        <v>143335</v>
      </c>
      <c r="F102">
        <v>3</v>
      </c>
      <c r="G102" t="s">
        <v>243</v>
      </c>
      <c r="H102">
        <v>353664</v>
      </c>
      <c r="I102">
        <v>48</v>
      </c>
      <c r="J102">
        <v>12.29</v>
      </c>
      <c r="K102" t="s">
        <v>44</v>
      </c>
      <c r="L102">
        <v>0</v>
      </c>
      <c r="M102">
        <v>319734.981097357</v>
      </c>
      <c r="N102">
        <v>6661.15</v>
      </c>
      <c r="O102" t="s">
        <v>26</v>
      </c>
      <c r="P102">
        <v>3</v>
      </c>
      <c r="Q102">
        <v>148</v>
      </c>
      <c r="R102" t="s">
        <v>34</v>
      </c>
      <c r="S102">
        <v>3</v>
      </c>
      <c r="T102" t="s">
        <v>28</v>
      </c>
      <c r="U102" t="s">
        <v>29</v>
      </c>
    </row>
    <row r="103" spans="1:21" x14ac:dyDescent="0.25">
      <c r="A103" t="s">
        <v>244</v>
      </c>
      <c r="B103">
        <v>25</v>
      </c>
      <c r="C103" t="s">
        <v>22</v>
      </c>
      <c r="D103" t="s">
        <v>49</v>
      </c>
      <c r="E103">
        <v>16969</v>
      </c>
      <c r="F103">
        <v>0</v>
      </c>
      <c r="G103" t="s">
        <v>245</v>
      </c>
      <c r="H103">
        <v>75675</v>
      </c>
      <c r="I103">
        <v>60</v>
      </c>
      <c r="J103">
        <v>17.25</v>
      </c>
      <c r="K103" t="s">
        <v>25</v>
      </c>
      <c r="L103">
        <v>107295.108828105</v>
      </c>
      <c r="M103">
        <v>33981.922514813297</v>
      </c>
      <c r="N103">
        <v>566.37</v>
      </c>
      <c r="O103" t="s">
        <v>26</v>
      </c>
      <c r="P103">
        <v>0</v>
      </c>
      <c r="Q103">
        <v>0</v>
      </c>
      <c r="R103" t="s">
        <v>65</v>
      </c>
      <c r="S103">
        <v>10</v>
      </c>
      <c r="T103" t="s">
        <v>28</v>
      </c>
      <c r="U103" t="s">
        <v>79</v>
      </c>
    </row>
    <row r="104" spans="1:21" x14ac:dyDescent="0.25">
      <c r="A104" t="s">
        <v>246</v>
      </c>
      <c r="B104">
        <v>62</v>
      </c>
      <c r="C104" t="s">
        <v>22</v>
      </c>
      <c r="D104" t="s">
        <v>23</v>
      </c>
      <c r="E104">
        <v>58753</v>
      </c>
      <c r="F104">
        <v>0</v>
      </c>
      <c r="G104" t="s">
        <v>247</v>
      </c>
      <c r="H104">
        <v>723647</v>
      </c>
      <c r="I104">
        <v>36</v>
      </c>
      <c r="J104">
        <v>6.08</v>
      </c>
      <c r="K104" t="s">
        <v>25</v>
      </c>
      <c r="L104">
        <v>439998.33100190898</v>
      </c>
      <c r="M104">
        <v>259855.638856481</v>
      </c>
      <c r="N104">
        <v>7218.21</v>
      </c>
      <c r="O104" t="s">
        <v>37</v>
      </c>
      <c r="P104">
        <v>3</v>
      </c>
      <c r="Q104">
        <v>6</v>
      </c>
      <c r="R104" t="s">
        <v>27</v>
      </c>
      <c r="S104">
        <v>1</v>
      </c>
      <c r="T104" t="s">
        <v>41</v>
      </c>
      <c r="U104" t="s">
        <v>29</v>
      </c>
    </row>
    <row r="105" spans="1:21" x14ac:dyDescent="0.25">
      <c r="A105" t="s">
        <v>248</v>
      </c>
      <c r="B105">
        <v>59</v>
      </c>
      <c r="C105" t="s">
        <v>31</v>
      </c>
      <c r="D105" t="s">
        <v>23</v>
      </c>
      <c r="E105">
        <v>228883</v>
      </c>
      <c r="F105">
        <v>0</v>
      </c>
      <c r="G105" t="s">
        <v>249</v>
      </c>
      <c r="H105">
        <v>312318</v>
      </c>
      <c r="I105">
        <v>48</v>
      </c>
      <c r="J105">
        <v>8.3000000000000007</v>
      </c>
      <c r="K105" t="s">
        <v>44</v>
      </c>
      <c r="L105">
        <v>0</v>
      </c>
      <c r="M105">
        <v>234933.91626468999</v>
      </c>
      <c r="N105">
        <v>4894.46</v>
      </c>
      <c r="O105" t="s">
        <v>37</v>
      </c>
      <c r="P105">
        <v>3</v>
      </c>
      <c r="Q105">
        <v>79</v>
      </c>
      <c r="R105" t="s">
        <v>65</v>
      </c>
      <c r="S105">
        <v>5</v>
      </c>
      <c r="T105" t="s">
        <v>28</v>
      </c>
      <c r="U105" t="s">
        <v>79</v>
      </c>
    </row>
    <row r="106" spans="1:21" x14ac:dyDescent="0.25">
      <c r="A106" t="s">
        <v>250</v>
      </c>
      <c r="B106">
        <v>61</v>
      </c>
      <c r="C106" t="s">
        <v>31</v>
      </c>
      <c r="D106" t="s">
        <v>23</v>
      </c>
      <c r="E106">
        <v>150542</v>
      </c>
      <c r="F106">
        <v>2</v>
      </c>
      <c r="G106" t="s">
        <v>251</v>
      </c>
      <c r="H106">
        <v>1190844</v>
      </c>
      <c r="I106">
        <v>12</v>
      </c>
      <c r="J106">
        <v>15.14</v>
      </c>
      <c r="K106" t="s">
        <v>44</v>
      </c>
      <c r="L106">
        <v>0</v>
      </c>
      <c r="M106">
        <v>1015520.84522419</v>
      </c>
      <c r="N106">
        <v>84626.74</v>
      </c>
      <c r="O106" t="s">
        <v>37</v>
      </c>
      <c r="P106">
        <v>3</v>
      </c>
      <c r="Q106">
        <v>147</v>
      </c>
      <c r="R106" t="s">
        <v>65</v>
      </c>
      <c r="S106">
        <v>10</v>
      </c>
      <c r="T106" t="s">
        <v>38</v>
      </c>
      <c r="U106" t="s">
        <v>29</v>
      </c>
    </row>
    <row r="107" spans="1:21" x14ac:dyDescent="0.25">
      <c r="A107" t="s">
        <v>252</v>
      </c>
      <c r="B107">
        <v>48</v>
      </c>
      <c r="C107" t="s">
        <v>22</v>
      </c>
      <c r="D107" t="s">
        <v>23</v>
      </c>
      <c r="E107">
        <v>136863</v>
      </c>
      <c r="F107">
        <v>1</v>
      </c>
      <c r="G107" t="s">
        <v>253</v>
      </c>
      <c r="H107">
        <v>1395718</v>
      </c>
      <c r="I107">
        <v>36</v>
      </c>
      <c r="J107">
        <v>6.28</v>
      </c>
      <c r="K107" t="s">
        <v>44</v>
      </c>
      <c r="L107">
        <v>0</v>
      </c>
      <c r="M107">
        <v>1222984.86108699</v>
      </c>
      <c r="N107">
        <v>33971.800000000003</v>
      </c>
      <c r="O107" t="s">
        <v>68</v>
      </c>
      <c r="P107">
        <v>8</v>
      </c>
      <c r="Q107">
        <v>173</v>
      </c>
      <c r="R107" t="s">
        <v>27</v>
      </c>
      <c r="S107">
        <v>8</v>
      </c>
      <c r="T107" t="s">
        <v>45</v>
      </c>
      <c r="U107" t="s">
        <v>29</v>
      </c>
    </row>
    <row r="108" spans="1:21" x14ac:dyDescent="0.25">
      <c r="A108" t="s">
        <v>254</v>
      </c>
      <c r="B108">
        <v>27</v>
      </c>
      <c r="C108" t="s">
        <v>31</v>
      </c>
      <c r="D108" t="s">
        <v>49</v>
      </c>
      <c r="E108">
        <v>25225</v>
      </c>
      <c r="F108">
        <v>2</v>
      </c>
      <c r="G108" t="s">
        <v>255</v>
      </c>
      <c r="H108">
        <v>758672</v>
      </c>
      <c r="I108">
        <v>48</v>
      </c>
      <c r="J108">
        <v>5.98</v>
      </c>
      <c r="K108" t="s">
        <v>44</v>
      </c>
      <c r="L108">
        <v>0</v>
      </c>
      <c r="M108">
        <v>291631.564746583</v>
      </c>
      <c r="N108">
        <v>6075.66</v>
      </c>
      <c r="O108" t="s">
        <v>26</v>
      </c>
      <c r="P108">
        <v>2</v>
      </c>
      <c r="Q108">
        <v>96</v>
      </c>
      <c r="R108" t="s">
        <v>34</v>
      </c>
      <c r="S108">
        <v>3</v>
      </c>
      <c r="T108" t="s">
        <v>45</v>
      </c>
      <c r="U108" t="s">
        <v>29</v>
      </c>
    </row>
    <row r="109" spans="1:21" x14ac:dyDescent="0.25">
      <c r="A109" t="s">
        <v>256</v>
      </c>
      <c r="B109">
        <v>29</v>
      </c>
      <c r="C109" t="s">
        <v>31</v>
      </c>
      <c r="D109" t="s">
        <v>23</v>
      </c>
      <c r="E109">
        <v>138008</v>
      </c>
      <c r="F109">
        <v>3</v>
      </c>
      <c r="G109" t="s">
        <v>257</v>
      </c>
      <c r="H109">
        <v>679698</v>
      </c>
      <c r="I109">
        <v>12</v>
      </c>
      <c r="J109">
        <v>9.6999999999999993</v>
      </c>
      <c r="K109" t="s">
        <v>44</v>
      </c>
      <c r="L109">
        <v>0</v>
      </c>
      <c r="M109">
        <v>589292.15208749601</v>
      </c>
      <c r="N109">
        <v>49107.68</v>
      </c>
      <c r="O109" t="s">
        <v>26</v>
      </c>
      <c r="P109">
        <v>0</v>
      </c>
      <c r="Q109">
        <v>0</v>
      </c>
      <c r="R109" t="s">
        <v>34</v>
      </c>
      <c r="S109">
        <v>2</v>
      </c>
      <c r="T109" t="s">
        <v>45</v>
      </c>
      <c r="U109" t="s">
        <v>29</v>
      </c>
    </row>
    <row r="110" spans="1:21" x14ac:dyDescent="0.25">
      <c r="A110" t="s">
        <v>258</v>
      </c>
      <c r="B110">
        <v>28</v>
      </c>
      <c r="C110" t="s">
        <v>31</v>
      </c>
      <c r="D110" t="s">
        <v>23</v>
      </c>
      <c r="E110">
        <v>169268</v>
      </c>
      <c r="F110">
        <v>0</v>
      </c>
      <c r="G110" t="s">
        <v>259</v>
      </c>
      <c r="H110">
        <v>387369</v>
      </c>
      <c r="I110">
        <v>36</v>
      </c>
      <c r="J110">
        <v>6.2</v>
      </c>
      <c r="K110" t="s">
        <v>44</v>
      </c>
      <c r="L110">
        <v>0</v>
      </c>
      <c r="M110">
        <v>53007.786988511201</v>
      </c>
      <c r="N110">
        <v>1472.44</v>
      </c>
      <c r="O110" t="s">
        <v>26</v>
      </c>
      <c r="P110">
        <v>0</v>
      </c>
      <c r="Q110">
        <v>0</v>
      </c>
      <c r="R110" t="s">
        <v>65</v>
      </c>
      <c r="S110">
        <v>10</v>
      </c>
      <c r="T110" t="s">
        <v>41</v>
      </c>
      <c r="U110" t="s">
        <v>29</v>
      </c>
    </row>
    <row r="111" spans="1:21" x14ac:dyDescent="0.25">
      <c r="A111" t="s">
        <v>260</v>
      </c>
      <c r="B111">
        <v>32</v>
      </c>
      <c r="C111" t="s">
        <v>22</v>
      </c>
      <c r="D111" t="s">
        <v>23</v>
      </c>
      <c r="E111">
        <v>120823</v>
      </c>
      <c r="F111">
        <v>1</v>
      </c>
      <c r="G111" t="s">
        <v>261</v>
      </c>
      <c r="H111">
        <v>1929822</v>
      </c>
      <c r="I111">
        <v>24</v>
      </c>
      <c r="J111">
        <v>12.61</v>
      </c>
      <c r="K111" t="s">
        <v>44</v>
      </c>
      <c r="L111">
        <v>0</v>
      </c>
      <c r="M111">
        <v>279236.25489460002</v>
      </c>
      <c r="N111">
        <v>11634.84</v>
      </c>
      <c r="O111" t="s">
        <v>26</v>
      </c>
      <c r="P111">
        <v>2</v>
      </c>
      <c r="Q111">
        <v>101</v>
      </c>
      <c r="R111" t="s">
        <v>27</v>
      </c>
      <c r="S111">
        <v>7</v>
      </c>
      <c r="T111" t="s">
        <v>28</v>
      </c>
      <c r="U111" t="s">
        <v>29</v>
      </c>
    </row>
    <row r="112" spans="1:21" x14ac:dyDescent="0.25">
      <c r="A112" t="s">
        <v>262</v>
      </c>
      <c r="B112">
        <v>54</v>
      </c>
      <c r="C112" t="s">
        <v>22</v>
      </c>
      <c r="D112" t="s">
        <v>23</v>
      </c>
      <c r="E112">
        <v>28669</v>
      </c>
      <c r="F112">
        <v>3</v>
      </c>
      <c r="G112" t="s">
        <v>263</v>
      </c>
      <c r="H112">
        <v>1445811</v>
      </c>
      <c r="I112">
        <v>12</v>
      </c>
      <c r="J112">
        <v>7.94</v>
      </c>
      <c r="K112" t="s">
        <v>25</v>
      </c>
      <c r="L112">
        <v>1059254.11078262</v>
      </c>
      <c r="M112">
        <v>955922.91998454498</v>
      </c>
      <c r="N112">
        <v>79660.240000000005</v>
      </c>
      <c r="O112" t="s">
        <v>26</v>
      </c>
      <c r="P112">
        <v>2</v>
      </c>
      <c r="Q112">
        <v>50</v>
      </c>
      <c r="R112" t="s">
        <v>34</v>
      </c>
      <c r="S112">
        <v>0</v>
      </c>
      <c r="T112" t="s">
        <v>38</v>
      </c>
      <c r="U112" t="s">
        <v>29</v>
      </c>
    </row>
    <row r="113" spans="1:21" x14ac:dyDescent="0.25">
      <c r="A113" t="s">
        <v>264</v>
      </c>
      <c r="B113">
        <v>53</v>
      </c>
      <c r="C113" t="s">
        <v>22</v>
      </c>
      <c r="D113" t="s">
        <v>23</v>
      </c>
      <c r="E113">
        <v>183452</v>
      </c>
      <c r="F113">
        <v>3</v>
      </c>
      <c r="G113" t="s">
        <v>265</v>
      </c>
      <c r="H113">
        <v>362863</v>
      </c>
      <c r="I113">
        <v>48</v>
      </c>
      <c r="J113">
        <v>16.64</v>
      </c>
      <c r="K113" t="s">
        <v>25</v>
      </c>
      <c r="L113">
        <v>453673.38252490602</v>
      </c>
      <c r="M113">
        <v>56895.369774737002</v>
      </c>
      <c r="N113">
        <v>1185.32</v>
      </c>
      <c r="O113" t="s">
        <v>26</v>
      </c>
      <c r="P113">
        <v>0</v>
      </c>
      <c r="Q113">
        <v>0</v>
      </c>
      <c r="R113" t="s">
        <v>27</v>
      </c>
      <c r="S113">
        <v>9</v>
      </c>
      <c r="T113" t="s">
        <v>41</v>
      </c>
      <c r="U113" t="s">
        <v>29</v>
      </c>
    </row>
    <row r="114" spans="1:21" x14ac:dyDescent="0.25">
      <c r="A114" t="s">
        <v>266</v>
      </c>
      <c r="B114">
        <v>43</v>
      </c>
      <c r="C114" t="s">
        <v>22</v>
      </c>
      <c r="D114" t="s">
        <v>58</v>
      </c>
      <c r="E114">
        <v>139398</v>
      </c>
      <c r="F114">
        <v>3</v>
      </c>
      <c r="G114" t="s">
        <v>267</v>
      </c>
      <c r="H114">
        <v>179887</v>
      </c>
      <c r="I114">
        <v>24</v>
      </c>
      <c r="J114">
        <v>15.19</v>
      </c>
      <c r="K114" t="s">
        <v>25</v>
      </c>
      <c r="L114">
        <v>139323.68197716799</v>
      </c>
      <c r="M114">
        <v>70542.372546208702</v>
      </c>
      <c r="N114">
        <v>2939.27</v>
      </c>
      <c r="O114" t="s">
        <v>37</v>
      </c>
      <c r="P114">
        <v>2</v>
      </c>
      <c r="Q114">
        <v>19</v>
      </c>
      <c r="R114" t="s">
        <v>34</v>
      </c>
      <c r="S114">
        <v>0</v>
      </c>
      <c r="T114" t="s">
        <v>45</v>
      </c>
      <c r="U114" t="s">
        <v>29</v>
      </c>
    </row>
    <row r="115" spans="1:21" x14ac:dyDescent="0.25">
      <c r="A115" t="s">
        <v>268</v>
      </c>
      <c r="B115">
        <v>44</v>
      </c>
      <c r="C115" t="s">
        <v>22</v>
      </c>
      <c r="D115" t="s">
        <v>23</v>
      </c>
      <c r="E115">
        <v>125677</v>
      </c>
      <c r="F115">
        <v>2</v>
      </c>
      <c r="G115" t="s">
        <v>269</v>
      </c>
      <c r="H115">
        <v>346063</v>
      </c>
      <c r="I115">
        <v>60</v>
      </c>
      <c r="J115">
        <v>14.1</v>
      </c>
      <c r="K115" t="s">
        <v>44</v>
      </c>
      <c r="L115">
        <v>0</v>
      </c>
      <c r="M115">
        <v>244140.659381712</v>
      </c>
      <c r="N115">
        <v>4069.01</v>
      </c>
      <c r="O115" t="s">
        <v>37</v>
      </c>
      <c r="P115">
        <v>3</v>
      </c>
      <c r="Q115">
        <v>151</v>
      </c>
      <c r="R115" t="s">
        <v>34</v>
      </c>
      <c r="S115">
        <v>1</v>
      </c>
      <c r="T115" t="s">
        <v>38</v>
      </c>
      <c r="U115" t="s">
        <v>29</v>
      </c>
    </row>
    <row r="116" spans="1:21" x14ac:dyDescent="0.25">
      <c r="A116" t="s">
        <v>270</v>
      </c>
      <c r="B116">
        <v>57</v>
      </c>
      <c r="C116" t="s">
        <v>31</v>
      </c>
      <c r="D116" t="s">
        <v>23</v>
      </c>
      <c r="E116">
        <v>63320</v>
      </c>
      <c r="F116">
        <v>0</v>
      </c>
      <c r="G116" t="s">
        <v>271</v>
      </c>
      <c r="H116">
        <v>1433875</v>
      </c>
      <c r="I116">
        <v>60</v>
      </c>
      <c r="J116">
        <v>13.02</v>
      </c>
      <c r="K116" t="s">
        <v>44</v>
      </c>
      <c r="L116">
        <v>0</v>
      </c>
      <c r="M116">
        <v>578626.21352177905</v>
      </c>
      <c r="N116">
        <v>9643.77</v>
      </c>
      <c r="O116" t="s">
        <v>26</v>
      </c>
      <c r="P116">
        <v>1</v>
      </c>
      <c r="Q116">
        <v>176</v>
      </c>
      <c r="R116" t="s">
        <v>34</v>
      </c>
      <c r="S116">
        <v>2</v>
      </c>
      <c r="T116" t="s">
        <v>45</v>
      </c>
      <c r="U116" t="s">
        <v>29</v>
      </c>
    </row>
    <row r="117" spans="1:21" x14ac:dyDescent="0.25">
      <c r="A117" t="s">
        <v>272</v>
      </c>
      <c r="B117">
        <v>55</v>
      </c>
      <c r="C117" t="s">
        <v>22</v>
      </c>
      <c r="D117" t="s">
        <v>23</v>
      </c>
      <c r="E117">
        <v>193486</v>
      </c>
      <c r="F117">
        <v>3</v>
      </c>
      <c r="G117" t="s">
        <v>273</v>
      </c>
      <c r="H117">
        <v>383713</v>
      </c>
      <c r="I117">
        <v>48</v>
      </c>
      <c r="J117">
        <v>16.23</v>
      </c>
      <c r="K117" t="s">
        <v>33</v>
      </c>
      <c r="L117">
        <v>431548.18756432802</v>
      </c>
      <c r="M117">
        <v>100394.59384215101</v>
      </c>
      <c r="N117">
        <v>2091.5500000000002</v>
      </c>
      <c r="O117" t="s">
        <v>26</v>
      </c>
      <c r="P117">
        <v>3</v>
      </c>
      <c r="Q117">
        <v>160</v>
      </c>
      <c r="R117" t="s">
        <v>27</v>
      </c>
      <c r="S117">
        <v>3</v>
      </c>
      <c r="T117" t="s">
        <v>45</v>
      </c>
      <c r="U117" t="s">
        <v>29</v>
      </c>
    </row>
    <row r="118" spans="1:21" x14ac:dyDescent="0.25">
      <c r="A118" t="s">
        <v>274</v>
      </c>
      <c r="B118">
        <v>64</v>
      </c>
      <c r="C118" t="s">
        <v>22</v>
      </c>
      <c r="D118" t="s">
        <v>49</v>
      </c>
      <c r="E118">
        <v>249614</v>
      </c>
      <c r="F118">
        <v>0</v>
      </c>
      <c r="G118" t="s">
        <v>275</v>
      </c>
      <c r="H118">
        <v>1926336</v>
      </c>
      <c r="I118">
        <v>72</v>
      </c>
      <c r="J118">
        <v>7.9</v>
      </c>
      <c r="K118" t="s">
        <v>25</v>
      </c>
      <c r="L118">
        <v>1119517.56749653</v>
      </c>
      <c r="M118">
        <v>680411.848349498</v>
      </c>
      <c r="N118">
        <v>9450.16</v>
      </c>
      <c r="O118" t="s">
        <v>26</v>
      </c>
      <c r="P118">
        <v>0</v>
      </c>
      <c r="Q118">
        <v>0</v>
      </c>
      <c r="R118" t="s">
        <v>27</v>
      </c>
      <c r="S118">
        <v>1</v>
      </c>
      <c r="T118" t="s">
        <v>41</v>
      </c>
      <c r="U118" t="s">
        <v>29</v>
      </c>
    </row>
    <row r="119" spans="1:21" x14ac:dyDescent="0.25">
      <c r="A119" t="s">
        <v>276</v>
      </c>
      <c r="B119">
        <v>60</v>
      </c>
      <c r="C119" t="s">
        <v>22</v>
      </c>
      <c r="D119" t="s">
        <v>58</v>
      </c>
      <c r="E119">
        <v>161649</v>
      </c>
      <c r="F119">
        <v>2</v>
      </c>
      <c r="G119" t="s">
        <v>277</v>
      </c>
      <c r="H119">
        <v>1300130</v>
      </c>
      <c r="I119">
        <v>48</v>
      </c>
      <c r="J119">
        <v>16.350000000000001</v>
      </c>
      <c r="K119" t="s">
        <v>33</v>
      </c>
      <c r="L119">
        <v>1237987.00915688</v>
      </c>
      <c r="M119">
        <v>665429.67504687898</v>
      </c>
      <c r="N119">
        <v>13863.12</v>
      </c>
      <c r="O119" t="s">
        <v>37</v>
      </c>
      <c r="P119">
        <v>2</v>
      </c>
      <c r="Q119">
        <v>62</v>
      </c>
      <c r="R119" t="s">
        <v>34</v>
      </c>
      <c r="S119">
        <v>3</v>
      </c>
      <c r="T119" t="s">
        <v>45</v>
      </c>
      <c r="U119" t="s">
        <v>29</v>
      </c>
    </row>
    <row r="120" spans="1:21" x14ac:dyDescent="0.25">
      <c r="A120" t="s">
        <v>278</v>
      </c>
      <c r="B120">
        <v>42</v>
      </c>
      <c r="C120" t="s">
        <v>22</v>
      </c>
      <c r="D120" t="s">
        <v>49</v>
      </c>
      <c r="E120">
        <v>140354</v>
      </c>
      <c r="F120">
        <v>3</v>
      </c>
      <c r="G120" t="s">
        <v>279</v>
      </c>
      <c r="H120">
        <v>1909626</v>
      </c>
      <c r="I120">
        <v>48</v>
      </c>
      <c r="J120">
        <v>15.26</v>
      </c>
      <c r="K120" t="s">
        <v>44</v>
      </c>
      <c r="L120">
        <v>0</v>
      </c>
      <c r="M120">
        <v>1007990.87047716</v>
      </c>
      <c r="N120">
        <v>20999.81</v>
      </c>
      <c r="O120" t="s">
        <v>37</v>
      </c>
      <c r="P120">
        <v>1</v>
      </c>
      <c r="Q120">
        <v>26</v>
      </c>
      <c r="R120" t="s">
        <v>34</v>
      </c>
      <c r="S120">
        <v>0</v>
      </c>
      <c r="T120" t="s">
        <v>38</v>
      </c>
      <c r="U120" t="s">
        <v>29</v>
      </c>
    </row>
    <row r="121" spans="1:21" x14ac:dyDescent="0.25">
      <c r="A121" t="s">
        <v>280</v>
      </c>
      <c r="B121">
        <v>47</v>
      </c>
      <c r="C121" t="s">
        <v>22</v>
      </c>
      <c r="D121" t="s">
        <v>49</v>
      </c>
      <c r="E121">
        <v>103009</v>
      </c>
      <c r="F121">
        <v>2</v>
      </c>
      <c r="G121" t="s">
        <v>281</v>
      </c>
      <c r="H121">
        <v>608963</v>
      </c>
      <c r="I121">
        <v>72</v>
      </c>
      <c r="J121">
        <v>14.73</v>
      </c>
      <c r="K121" t="s">
        <v>25</v>
      </c>
      <c r="L121">
        <v>754560.82961109502</v>
      </c>
      <c r="M121">
        <v>490032.65289369802</v>
      </c>
      <c r="N121">
        <v>6806.01</v>
      </c>
      <c r="O121" t="s">
        <v>26</v>
      </c>
      <c r="P121">
        <v>0</v>
      </c>
      <c r="Q121">
        <v>0</v>
      </c>
      <c r="R121" t="s">
        <v>34</v>
      </c>
      <c r="S121">
        <v>0</v>
      </c>
      <c r="T121" t="s">
        <v>45</v>
      </c>
      <c r="U121" t="s">
        <v>29</v>
      </c>
    </row>
    <row r="122" spans="1:21" x14ac:dyDescent="0.25">
      <c r="A122" t="s">
        <v>282</v>
      </c>
      <c r="B122">
        <v>55</v>
      </c>
      <c r="C122" t="s">
        <v>22</v>
      </c>
      <c r="D122" t="s">
        <v>23</v>
      </c>
      <c r="E122">
        <v>201481</v>
      </c>
      <c r="F122">
        <v>2</v>
      </c>
      <c r="G122" t="s">
        <v>283</v>
      </c>
      <c r="H122">
        <v>1593586</v>
      </c>
      <c r="I122">
        <v>24</v>
      </c>
      <c r="J122">
        <v>12.3</v>
      </c>
      <c r="K122" t="s">
        <v>25</v>
      </c>
      <c r="L122">
        <v>1890812.0084385199</v>
      </c>
      <c r="M122">
        <v>1235248.9158491599</v>
      </c>
      <c r="N122">
        <v>51468.7</v>
      </c>
      <c r="O122" t="s">
        <v>26</v>
      </c>
      <c r="P122">
        <v>2</v>
      </c>
      <c r="Q122">
        <v>178</v>
      </c>
      <c r="R122" t="s">
        <v>27</v>
      </c>
      <c r="S122">
        <v>7</v>
      </c>
      <c r="T122" t="s">
        <v>28</v>
      </c>
      <c r="U122" t="s">
        <v>29</v>
      </c>
    </row>
    <row r="123" spans="1:21" x14ac:dyDescent="0.25">
      <c r="A123" t="s">
        <v>284</v>
      </c>
      <c r="B123">
        <v>21</v>
      </c>
      <c r="C123" t="s">
        <v>22</v>
      </c>
      <c r="D123" t="s">
        <v>23</v>
      </c>
      <c r="E123">
        <v>43625</v>
      </c>
      <c r="F123">
        <v>0</v>
      </c>
      <c r="G123" t="s">
        <v>285</v>
      </c>
      <c r="H123">
        <v>855351</v>
      </c>
      <c r="I123">
        <v>72</v>
      </c>
      <c r="J123">
        <v>8.1999999999999993</v>
      </c>
      <c r="K123" t="s">
        <v>44</v>
      </c>
      <c r="L123">
        <v>0</v>
      </c>
      <c r="M123">
        <v>437200.70935040503</v>
      </c>
      <c r="N123">
        <v>6072.23</v>
      </c>
      <c r="O123" t="s">
        <v>26</v>
      </c>
      <c r="P123">
        <v>1</v>
      </c>
      <c r="Q123">
        <v>77</v>
      </c>
      <c r="R123" t="s">
        <v>34</v>
      </c>
      <c r="S123">
        <v>1</v>
      </c>
      <c r="T123" t="s">
        <v>45</v>
      </c>
      <c r="U123" t="s">
        <v>29</v>
      </c>
    </row>
    <row r="124" spans="1:21" x14ac:dyDescent="0.25">
      <c r="A124" t="s">
        <v>286</v>
      </c>
      <c r="B124">
        <v>55</v>
      </c>
      <c r="C124" t="s">
        <v>22</v>
      </c>
      <c r="D124" t="s">
        <v>58</v>
      </c>
      <c r="E124">
        <v>227112</v>
      </c>
      <c r="F124">
        <v>3</v>
      </c>
      <c r="G124" t="s">
        <v>287</v>
      </c>
      <c r="H124">
        <v>840605</v>
      </c>
      <c r="I124">
        <v>12</v>
      </c>
      <c r="J124">
        <v>10.51</v>
      </c>
      <c r="K124" t="s">
        <v>25</v>
      </c>
      <c r="L124">
        <v>1105456.18318859</v>
      </c>
      <c r="M124">
        <v>723845.48179025599</v>
      </c>
      <c r="N124">
        <v>60320.46</v>
      </c>
      <c r="O124" t="s">
        <v>26</v>
      </c>
      <c r="P124">
        <v>1</v>
      </c>
      <c r="Q124">
        <v>175</v>
      </c>
      <c r="R124" t="s">
        <v>34</v>
      </c>
      <c r="S124">
        <v>2</v>
      </c>
      <c r="T124" t="s">
        <v>41</v>
      </c>
      <c r="U124" t="s">
        <v>29</v>
      </c>
    </row>
    <row r="125" spans="1:21" x14ac:dyDescent="0.25">
      <c r="A125" t="s">
        <v>288</v>
      </c>
      <c r="B125">
        <v>57</v>
      </c>
      <c r="C125" t="s">
        <v>22</v>
      </c>
      <c r="D125" t="s">
        <v>49</v>
      </c>
      <c r="E125">
        <v>39089</v>
      </c>
      <c r="F125">
        <v>2</v>
      </c>
      <c r="G125" t="s">
        <v>289</v>
      </c>
      <c r="H125">
        <v>421513</v>
      </c>
      <c r="I125">
        <v>36</v>
      </c>
      <c r="J125">
        <v>15.32</v>
      </c>
      <c r="K125" t="s">
        <v>25</v>
      </c>
      <c r="L125">
        <v>580613.97824088205</v>
      </c>
      <c r="M125">
        <v>85488.4950991675</v>
      </c>
      <c r="N125">
        <v>2374.6799999999998</v>
      </c>
      <c r="O125" t="s">
        <v>26</v>
      </c>
      <c r="P125">
        <v>2</v>
      </c>
      <c r="Q125">
        <v>153</v>
      </c>
      <c r="R125" t="s">
        <v>34</v>
      </c>
      <c r="S125">
        <v>0</v>
      </c>
      <c r="T125" t="s">
        <v>38</v>
      </c>
      <c r="U125" t="s">
        <v>29</v>
      </c>
    </row>
    <row r="126" spans="1:21" x14ac:dyDescent="0.25">
      <c r="A126" t="s">
        <v>290</v>
      </c>
      <c r="B126">
        <v>34</v>
      </c>
      <c r="C126" t="s">
        <v>31</v>
      </c>
      <c r="D126" t="s">
        <v>49</v>
      </c>
      <c r="E126">
        <v>51487</v>
      </c>
      <c r="F126">
        <v>3</v>
      </c>
      <c r="G126" t="s">
        <v>291</v>
      </c>
      <c r="H126">
        <v>862832</v>
      </c>
      <c r="I126">
        <v>12</v>
      </c>
      <c r="J126">
        <v>5.41</v>
      </c>
      <c r="K126" t="s">
        <v>44</v>
      </c>
      <c r="L126">
        <v>0</v>
      </c>
      <c r="M126">
        <v>284577.53769623302</v>
      </c>
      <c r="N126">
        <v>23714.79</v>
      </c>
      <c r="O126" t="s">
        <v>37</v>
      </c>
      <c r="P126">
        <v>1</v>
      </c>
      <c r="Q126">
        <v>30</v>
      </c>
      <c r="R126" t="s">
        <v>34</v>
      </c>
      <c r="S126">
        <v>0</v>
      </c>
      <c r="T126" t="s">
        <v>41</v>
      </c>
      <c r="U126" t="s">
        <v>29</v>
      </c>
    </row>
    <row r="127" spans="1:21" x14ac:dyDescent="0.25">
      <c r="A127" t="s">
        <v>292</v>
      </c>
      <c r="B127">
        <v>23</v>
      </c>
      <c r="C127" t="s">
        <v>22</v>
      </c>
      <c r="D127" t="s">
        <v>49</v>
      </c>
      <c r="E127">
        <v>211910</v>
      </c>
      <c r="F127">
        <v>0</v>
      </c>
      <c r="G127" t="s">
        <v>293</v>
      </c>
      <c r="H127">
        <v>231517</v>
      </c>
      <c r="I127">
        <v>60</v>
      </c>
      <c r="J127">
        <v>15.17</v>
      </c>
      <c r="K127" t="s">
        <v>44</v>
      </c>
      <c r="L127">
        <v>0</v>
      </c>
      <c r="M127">
        <v>195673.264210586</v>
      </c>
      <c r="N127">
        <v>3261.22</v>
      </c>
      <c r="O127" t="s">
        <v>37</v>
      </c>
      <c r="P127">
        <v>0</v>
      </c>
      <c r="Q127">
        <v>0</v>
      </c>
      <c r="R127" t="s">
        <v>34</v>
      </c>
      <c r="S127">
        <v>2</v>
      </c>
      <c r="T127" t="s">
        <v>28</v>
      </c>
      <c r="U127" t="s">
        <v>29</v>
      </c>
    </row>
    <row r="128" spans="1:21" x14ac:dyDescent="0.25">
      <c r="A128" t="s">
        <v>294</v>
      </c>
      <c r="B128">
        <v>21</v>
      </c>
      <c r="C128" t="s">
        <v>22</v>
      </c>
      <c r="D128" t="s">
        <v>49</v>
      </c>
      <c r="E128">
        <v>243071</v>
      </c>
      <c r="F128">
        <v>2</v>
      </c>
      <c r="G128" t="s">
        <v>295</v>
      </c>
      <c r="H128">
        <v>120305</v>
      </c>
      <c r="I128">
        <v>48</v>
      </c>
      <c r="J128">
        <v>8.1199999999999992</v>
      </c>
      <c r="K128" t="s">
        <v>33</v>
      </c>
      <c r="L128">
        <v>153170.341118935</v>
      </c>
      <c r="M128">
        <v>52957.6155352274</v>
      </c>
      <c r="N128">
        <v>1103.28</v>
      </c>
      <c r="O128" t="s">
        <v>26</v>
      </c>
      <c r="P128">
        <v>2</v>
      </c>
      <c r="Q128">
        <v>144</v>
      </c>
      <c r="R128" t="s">
        <v>27</v>
      </c>
      <c r="S128">
        <v>0</v>
      </c>
      <c r="T128" t="s">
        <v>45</v>
      </c>
      <c r="U128" t="s">
        <v>29</v>
      </c>
    </row>
    <row r="129" spans="1:21" x14ac:dyDescent="0.25">
      <c r="A129" t="s">
        <v>296</v>
      </c>
      <c r="B129">
        <v>25</v>
      </c>
      <c r="C129" t="s">
        <v>22</v>
      </c>
      <c r="D129" t="s">
        <v>49</v>
      </c>
      <c r="E129">
        <v>125448</v>
      </c>
      <c r="F129">
        <v>0</v>
      </c>
      <c r="G129" t="s">
        <v>297</v>
      </c>
      <c r="H129">
        <v>742924</v>
      </c>
      <c r="I129">
        <v>60</v>
      </c>
      <c r="J129">
        <v>6.88</v>
      </c>
      <c r="K129" t="s">
        <v>64</v>
      </c>
      <c r="L129">
        <v>870400.65233515901</v>
      </c>
      <c r="M129">
        <v>730341.39554682095</v>
      </c>
      <c r="N129">
        <v>12172.36</v>
      </c>
      <c r="O129" t="s">
        <v>37</v>
      </c>
      <c r="P129">
        <v>3</v>
      </c>
      <c r="Q129">
        <v>10</v>
      </c>
      <c r="R129" t="s">
        <v>34</v>
      </c>
      <c r="S129">
        <v>2</v>
      </c>
      <c r="T129" t="s">
        <v>41</v>
      </c>
      <c r="U129" t="s">
        <v>29</v>
      </c>
    </row>
    <row r="130" spans="1:21" x14ac:dyDescent="0.25">
      <c r="A130" t="s">
        <v>298</v>
      </c>
      <c r="B130">
        <v>46</v>
      </c>
      <c r="C130" t="s">
        <v>31</v>
      </c>
      <c r="D130" t="s">
        <v>58</v>
      </c>
      <c r="E130">
        <v>240867</v>
      </c>
      <c r="F130">
        <v>3</v>
      </c>
      <c r="G130" t="s">
        <v>299</v>
      </c>
      <c r="H130">
        <v>1537606</v>
      </c>
      <c r="I130">
        <v>36</v>
      </c>
      <c r="J130">
        <v>6.5</v>
      </c>
      <c r="K130" t="s">
        <v>44</v>
      </c>
      <c r="L130">
        <v>0</v>
      </c>
      <c r="M130">
        <v>798983.0588772</v>
      </c>
      <c r="N130">
        <v>22193.97</v>
      </c>
      <c r="O130" t="s">
        <v>68</v>
      </c>
      <c r="P130">
        <v>0</v>
      </c>
      <c r="Q130">
        <v>0</v>
      </c>
      <c r="R130" t="s">
        <v>27</v>
      </c>
      <c r="S130">
        <v>5</v>
      </c>
      <c r="T130" t="s">
        <v>41</v>
      </c>
      <c r="U130" t="s">
        <v>29</v>
      </c>
    </row>
    <row r="131" spans="1:21" x14ac:dyDescent="0.25">
      <c r="A131" t="s">
        <v>300</v>
      </c>
      <c r="B131">
        <v>34</v>
      </c>
      <c r="C131" t="s">
        <v>22</v>
      </c>
      <c r="D131" t="s">
        <v>58</v>
      </c>
      <c r="E131">
        <v>65138</v>
      </c>
      <c r="F131">
        <v>3</v>
      </c>
      <c r="G131" t="s">
        <v>301</v>
      </c>
      <c r="H131">
        <v>522963</v>
      </c>
      <c r="I131">
        <v>36</v>
      </c>
      <c r="J131">
        <v>5.35</v>
      </c>
      <c r="K131" t="s">
        <v>44</v>
      </c>
      <c r="L131">
        <v>0</v>
      </c>
      <c r="M131">
        <v>425034.026272799</v>
      </c>
      <c r="N131">
        <v>11806.5</v>
      </c>
      <c r="O131" t="s">
        <v>26</v>
      </c>
      <c r="P131">
        <v>0</v>
      </c>
      <c r="Q131">
        <v>0</v>
      </c>
      <c r="R131" t="s">
        <v>34</v>
      </c>
      <c r="S131">
        <v>2</v>
      </c>
      <c r="T131" t="s">
        <v>41</v>
      </c>
      <c r="U131" t="s">
        <v>29</v>
      </c>
    </row>
    <row r="132" spans="1:21" x14ac:dyDescent="0.25">
      <c r="A132" t="s">
        <v>302</v>
      </c>
      <c r="B132">
        <v>59</v>
      </c>
      <c r="C132" t="s">
        <v>22</v>
      </c>
      <c r="D132" t="s">
        <v>49</v>
      </c>
      <c r="E132">
        <v>188895</v>
      </c>
      <c r="F132">
        <v>0</v>
      </c>
      <c r="G132" t="s">
        <v>303</v>
      </c>
      <c r="H132">
        <v>1711655</v>
      </c>
      <c r="I132">
        <v>12</v>
      </c>
      <c r="J132">
        <v>11.81</v>
      </c>
      <c r="K132" t="s">
        <v>44</v>
      </c>
      <c r="L132">
        <v>0</v>
      </c>
      <c r="M132">
        <v>790915.27302561002</v>
      </c>
      <c r="N132">
        <v>65909.61</v>
      </c>
      <c r="O132" t="s">
        <v>26</v>
      </c>
      <c r="P132">
        <v>2</v>
      </c>
      <c r="Q132">
        <v>88</v>
      </c>
      <c r="R132" t="s">
        <v>34</v>
      </c>
      <c r="S132">
        <v>3</v>
      </c>
      <c r="T132" t="s">
        <v>41</v>
      </c>
      <c r="U132" t="s">
        <v>29</v>
      </c>
    </row>
    <row r="133" spans="1:21" x14ac:dyDescent="0.25">
      <c r="A133" t="s">
        <v>304</v>
      </c>
      <c r="B133">
        <v>47</v>
      </c>
      <c r="C133" t="s">
        <v>31</v>
      </c>
      <c r="D133" t="s">
        <v>49</v>
      </c>
      <c r="E133">
        <v>183280</v>
      </c>
      <c r="F133">
        <v>1</v>
      </c>
      <c r="G133" t="s">
        <v>305</v>
      </c>
      <c r="H133">
        <v>1257610</v>
      </c>
      <c r="I133">
        <v>36</v>
      </c>
      <c r="J133">
        <v>7.84</v>
      </c>
      <c r="K133" t="s">
        <v>25</v>
      </c>
      <c r="L133">
        <v>668699.52293275902</v>
      </c>
      <c r="M133">
        <v>606744.21559729299</v>
      </c>
      <c r="N133">
        <v>16854.009999999998</v>
      </c>
      <c r="O133" t="s">
        <v>68</v>
      </c>
      <c r="P133">
        <v>12</v>
      </c>
      <c r="Q133">
        <v>136</v>
      </c>
      <c r="R133" t="s">
        <v>34</v>
      </c>
      <c r="S133">
        <v>1</v>
      </c>
      <c r="T133" t="s">
        <v>28</v>
      </c>
      <c r="U133" t="s">
        <v>29</v>
      </c>
    </row>
    <row r="134" spans="1:21" x14ac:dyDescent="0.25">
      <c r="A134" t="s">
        <v>306</v>
      </c>
      <c r="B134">
        <v>29</v>
      </c>
      <c r="C134" t="s">
        <v>22</v>
      </c>
      <c r="D134" t="s">
        <v>23</v>
      </c>
      <c r="E134">
        <v>69061</v>
      </c>
      <c r="F134">
        <v>2</v>
      </c>
      <c r="G134" t="s">
        <v>307</v>
      </c>
      <c r="H134">
        <v>528108</v>
      </c>
      <c r="I134">
        <v>72</v>
      </c>
      <c r="J134">
        <v>17.86</v>
      </c>
      <c r="K134" t="s">
        <v>44</v>
      </c>
      <c r="L134">
        <v>0</v>
      </c>
      <c r="M134">
        <v>234794.08783136</v>
      </c>
      <c r="N134">
        <v>3261.03</v>
      </c>
      <c r="O134" t="s">
        <v>26</v>
      </c>
      <c r="P134">
        <v>2</v>
      </c>
      <c r="Q134">
        <v>109</v>
      </c>
      <c r="R134" t="s">
        <v>27</v>
      </c>
      <c r="S134">
        <v>3</v>
      </c>
      <c r="T134" t="s">
        <v>28</v>
      </c>
      <c r="U134" t="s">
        <v>29</v>
      </c>
    </row>
    <row r="135" spans="1:21" x14ac:dyDescent="0.25">
      <c r="A135" t="s">
        <v>308</v>
      </c>
      <c r="B135">
        <v>35</v>
      </c>
      <c r="C135" t="s">
        <v>31</v>
      </c>
      <c r="D135" t="s">
        <v>49</v>
      </c>
      <c r="E135">
        <v>176731</v>
      </c>
      <c r="F135">
        <v>3</v>
      </c>
      <c r="G135" t="s">
        <v>309</v>
      </c>
      <c r="H135">
        <v>1053346</v>
      </c>
      <c r="I135">
        <v>36</v>
      </c>
      <c r="J135">
        <v>12.47</v>
      </c>
      <c r="K135" t="s">
        <v>64</v>
      </c>
      <c r="L135">
        <v>1090178.00556914</v>
      </c>
      <c r="M135">
        <v>787026.48570632294</v>
      </c>
      <c r="N135">
        <v>21861.85</v>
      </c>
      <c r="O135" t="s">
        <v>68</v>
      </c>
      <c r="P135">
        <v>3</v>
      </c>
      <c r="Q135">
        <v>169</v>
      </c>
      <c r="R135" t="s">
        <v>65</v>
      </c>
      <c r="S135">
        <v>8</v>
      </c>
      <c r="T135" t="s">
        <v>45</v>
      </c>
      <c r="U135" t="s">
        <v>79</v>
      </c>
    </row>
    <row r="136" spans="1:21" x14ac:dyDescent="0.25">
      <c r="A136" t="s">
        <v>310</v>
      </c>
      <c r="B136">
        <v>35</v>
      </c>
      <c r="C136" t="s">
        <v>22</v>
      </c>
      <c r="D136" t="s">
        <v>23</v>
      </c>
      <c r="E136">
        <v>116376</v>
      </c>
      <c r="F136">
        <v>3</v>
      </c>
      <c r="G136" t="s">
        <v>311</v>
      </c>
      <c r="H136">
        <v>644821</v>
      </c>
      <c r="I136">
        <v>60</v>
      </c>
      <c r="J136">
        <v>6.79</v>
      </c>
      <c r="K136" t="s">
        <v>44</v>
      </c>
      <c r="L136">
        <v>0</v>
      </c>
      <c r="M136">
        <v>382228.02656570502</v>
      </c>
      <c r="N136">
        <v>6370.47</v>
      </c>
      <c r="O136" t="s">
        <v>68</v>
      </c>
      <c r="P136">
        <v>0</v>
      </c>
      <c r="Q136">
        <v>0</v>
      </c>
      <c r="R136" t="s">
        <v>65</v>
      </c>
      <c r="S136">
        <v>6</v>
      </c>
      <c r="T136" t="s">
        <v>45</v>
      </c>
      <c r="U136" t="s">
        <v>29</v>
      </c>
    </row>
    <row r="137" spans="1:21" x14ac:dyDescent="0.25">
      <c r="A137" t="s">
        <v>312</v>
      </c>
      <c r="B137">
        <v>46</v>
      </c>
      <c r="C137" t="s">
        <v>22</v>
      </c>
      <c r="D137" t="s">
        <v>23</v>
      </c>
      <c r="E137">
        <v>177962</v>
      </c>
      <c r="F137">
        <v>2</v>
      </c>
      <c r="G137" t="s">
        <v>313</v>
      </c>
      <c r="H137">
        <v>237256</v>
      </c>
      <c r="I137">
        <v>60</v>
      </c>
      <c r="J137">
        <v>13.95</v>
      </c>
      <c r="K137" t="s">
        <v>44</v>
      </c>
      <c r="L137">
        <v>0</v>
      </c>
      <c r="M137">
        <v>225250.91763173201</v>
      </c>
      <c r="N137">
        <v>3754.18</v>
      </c>
      <c r="O137" t="s">
        <v>37</v>
      </c>
      <c r="P137">
        <v>1</v>
      </c>
      <c r="Q137">
        <v>94</v>
      </c>
      <c r="R137" t="s">
        <v>34</v>
      </c>
      <c r="S137">
        <v>1</v>
      </c>
      <c r="T137" t="s">
        <v>38</v>
      </c>
      <c r="U137" t="s">
        <v>29</v>
      </c>
    </row>
    <row r="138" spans="1:21" x14ac:dyDescent="0.25">
      <c r="A138" t="s">
        <v>314</v>
      </c>
      <c r="B138">
        <v>62</v>
      </c>
      <c r="C138" t="s">
        <v>22</v>
      </c>
      <c r="D138" t="s">
        <v>58</v>
      </c>
      <c r="E138">
        <v>94134</v>
      </c>
      <c r="F138">
        <v>0</v>
      </c>
      <c r="G138" t="s">
        <v>315</v>
      </c>
      <c r="H138">
        <v>526128</v>
      </c>
      <c r="I138">
        <v>36</v>
      </c>
      <c r="J138">
        <v>16.670000000000002</v>
      </c>
      <c r="K138" t="s">
        <v>25</v>
      </c>
      <c r="L138">
        <v>282897.82861400198</v>
      </c>
      <c r="M138">
        <v>171413.17841170999</v>
      </c>
      <c r="N138">
        <v>4761.4799999999996</v>
      </c>
      <c r="O138" t="s">
        <v>37</v>
      </c>
      <c r="P138">
        <v>0</v>
      </c>
      <c r="Q138">
        <v>0</v>
      </c>
      <c r="R138" t="s">
        <v>34</v>
      </c>
      <c r="S138">
        <v>1</v>
      </c>
      <c r="T138" t="s">
        <v>28</v>
      </c>
      <c r="U138" t="s">
        <v>29</v>
      </c>
    </row>
    <row r="139" spans="1:21" x14ac:dyDescent="0.25">
      <c r="A139" t="s">
        <v>316</v>
      </c>
      <c r="B139">
        <v>33</v>
      </c>
      <c r="C139" t="s">
        <v>31</v>
      </c>
      <c r="D139" t="s">
        <v>23</v>
      </c>
      <c r="E139">
        <v>62055</v>
      </c>
      <c r="F139">
        <v>0</v>
      </c>
      <c r="G139" t="s">
        <v>317</v>
      </c>
      <c r="H139">
        <v>1073920</v>
      </c>
      <c r="I139">
        <v>48</v>
      </c>
      <c r="J139">
        <v>14.69</v>
      </c>
      <c r="K139" t="s">
        <v>33</v>
      </c>
      <c r="L139">
        <v>1404760.19015724</v>
      </c>
      <c r="M139">
        <v>204588.69631514701</v>
      </c>
      <c r="N139">
        <v>4262.26</v>
      </c>
      <c r="O139" t="s">
        <v>37</v>
      </c>
      <c r="P139">
        <v>0</v>
      </c>
      <c r="Q139">
        <v>0</v>
      </c>
      <c r="R139" t="s">
        <v>27</v>
      </c>
      <c r="S139">
        <v>2</v>
      </c>
      <c r="T139" t="s">
        <v>41</v>
      </c>
      <c r="U139" t="s">
        <v>29</v>
      </c>
    </row>
    <row r="140" spans="1:21" x14ac:dyDescent="0.25">
      <c r="A140" t="s">
        <v>318</v>
      </c>
      <c r="B140">
        <v>52</v>
      </c>
      <c r="C140" t="s">
        <v>22</v>
      </c>
      <c r="D140" t="s">
        <v>23</v>
      </c>
      <c r="E140">
        <v>34508</v>
      </c>
      <c r="F140">
        <v>0</v>
      </c>
      <c r="G140" t="s">
        <v>319</v>
      </c>
      <c r="H140">
        <v>940023</v>
      </c>
      <c r="I140">
        <v>12</v>
      </c>
      <c r="J140">
        <v>5.99</v>
      </c>
      <c r="K140" t="s">
        <v>25</v>
      </c>
      <c r="L140">
        <v>771499.92965642305</v>
      </c>
      <c r="M140">
        <v>426709.65690667799</v>
      </c>
      <c r="N140">
        <v>35559.14</v>
      </c>
      <c r="O140" t="s">
        <v>37</v>
      </c>
      <c r="P140">
        <v>3</v>
      </c>
      <c r="Q140">
        <v>17</v>
      </c>
      <c r="R140" t="s">
        <v>27</v>
      </c>
      <c r="S140">
        <v>1</v>
      </c>
      <c r="T140" t="s">
        <v>41</v>
      </c>
      <c r="U140" t="s">
        <v>29</v>
      </c>
    </row>
    <row r="141" spans="1:21" x14ac:dyDescent="0.25">
      <c r="A141" t="s">
        <v>320</v>
      </c>
      <c r="B141">
        <v>59</v>
      </c>
      <c r="C141" t="s">
        <v>31</v>
      </c>
      <c r="D141" t="s">
        <v>23</v>
      </c>
      <c r="E141">
        <v>188359</v>
      </c>
      <c r="F141">
        <v>1</v>
      </c>
      <c r="G141" t="s">
        <v>321</v>
      </c>
      <c r="H141">
        <v>1764514</v>
      </c>
      <c r="I141">
        <v>24</v>
      </c>
      <c r="J141">
        <v>16.649999999999999</v>
      </c>
      <c r="K141" t="s">
        <v>25</v>
      </c>
      <c r="L141">
        <v>1874671.5046423101</v>
      </c>
      <c r="M141">
        <v>1155829.78595858</v>
      </c>
      <c r="N141">
        <v>48159.57</v>
      </c>
      <c r="O141" t="s">
        <v>26</v>
      </c>
      <c r="P141">
        <v>0</v>
      </c>
      <c r="Q141">
        <v>0</v>
      </c>
      <c r="R141" t="s">
        <v>34</v>
      </c>
      <c r="S141">
        <v>3</v>
      </c>
      <c r="T141" t="s">
        <v>38</v>
      </c>
      <c r="U141" t="s">
        <v>29</v>
      </c>
    </row>
    <row r="142" spans="1:21" x14ac:dyDescent="0.25">
      <c r="A142" t="s">
        <v>322</v>
      </c>
      <c r="B142">
        <v>52</v>
      </c>
      <c r="C142" t="s">
        <v>22</v>
      </c>
      <c r="D142" t="s">
        <v>23</v>
      </c>
      <c r="E142">
        <v>224988</v>
      </c>
      <c r="F142">
        <v>1</v>
      </c>
      <c r="G142" t="s">
        <v>323</v>
      </c>
      <c r="H142">
        <v>1753924</v>
      </c>
      <c r="I142">
        <v>12</v>
      </c>
      <c r="J142">
        <v>15.32</v>
      </c>
      <c r="K142" t="s">
        <v>64</v>
      </c>
      <c r="L142">
        <v>1367087.8311940001</v>
      </c>
      <c r="M142">
        <v>1534190.72316752</v>
      </c>
      <c r="N142">
        <v>127849.23</v>
      </c>
      <c r="O142" t="s">
        <v>26</v>
      </c>
      <c r="P142">
        <v>1</v>
      </c>
      <c r="Q142">
        <v>129</v>
      </c>
      <c r="R142" t="s">
        <v>27</v>
      </c>
      <c r="S142">
        <v>9</v>
      </c>
      <c r="T142" t="s">
        <v>41</v>
      </c>
      <c r="U142" t="s">
        <v>29</v>
      </c>
    </row>
    <row r="143" spans="1:21" x14ac:dyDescent="0.25">
      <c r="A143" t="s">
        <v>324</v>
      </c>
      <c r="B143">
        <v>24</v>
      </c>
      <c r="C143" t="s">
        <v>31</v>
      </c>
      <c r="D143" t="s">
        <v>49</v>
      </c>
      <c r="E143">
        <v>173056</v>
      </c>
      <c r="F143">
        <v>3</v>
      </c>
      <c r="G143" t="s">
        <v>325</v>
      </c>
      <c r="H143">
        <v>1772560</v>
      </c>
      <c r="I143">
        <v>48</v>
      </c>
      <c r="J143">
        <v>7.06</v>
      </c>
      <c r="K143" t="s">
        <v>44</v>
      </c>
      <c r="L143">
        <v>0</v>
      </c>
      <c r="M143">
        <v>729545.27810867305</v>
      </c>
      <c r="N143">
        <v>15198.86</v>
      </c>
      <c r="O143" t="s">
        <v>26</v>
      </c>
      <c r="P143">
        <v>1</v>
      </c>
      <c r="Q143">
        <v>165</v>
      </c>
      <c r="R143" t="s">
        <v>34</v>
      </c>
      <c r="S143">
        <v>1</v>
      </c>
      <c r="T143" t="s">
        <v>38</v>
      </c>
      <c r="U143" t="s">
        <v>29</v>
      </c>
    </row>
    <row r="144" spans="1:21" x14ac:dyDescent="0.25">
      <c r="A144" t="s">
        <v>326</v>
      </c>
      <c r="B144">
        <v>50</v>
      </c>
      <c r="C144" t="s">
        <v>22</v>
      </c>
      <c r="D144" t="s">
        <v>23</v>
      </c>
      <c r="E144">
        <v>125169</v>
      </c>
      <c r="F144">
        <v>0</v>
      </c>
      <c r="G144" t="s">
        <v>327</v>
      </c>
      <c r="H144">
        <v>1083668</v>
      </c>
      <c r="I144">
        <v>36</v>
      </c>
      <c r="J144">
        <v>5.67</v>
      </c>
      <c r="K144" t="s">
        <v>33</v>
      </c>
      <c r="L144">
        <v>1389804.3664603001</v>
      </c>
      <c r="M144">
        <v>746005.80291578895</v>
      </c>
      <c r="N144">
        <v>20722.38</v>
      </c>
      <c r="O144" t="s">
        <v>37</v>
      </c>
      <c r="P144">
        <v>3</v>
      </c>
      <c r="Q144">
        <v>87</v>
      </c>
      <c r="R144" t="s">
        <v>34</v>
      </c>
      <c r="S144">
        <v>3</v>
      </c>
      <c r="T144" t="s">
        <v>45</v>
      </c>
      <c r="U144" t="s">
        <v>29</v>
      </c>
    </row>
    <row r="145" spans="1:21" x14ac:dyDescent="0.25">
      <c r="A145" t="s">
        <v>328</v>
      </c>
      <c r="B145">
        <v>57</v>
      </c>
      <c r="C145" t="s">
        <v>31</v>
      </c>
      <c r="D145" t="s">
        <v>23</v>
      </c>
      <c r="E145">
        <v>23125</v>
      </c>
      <c r="F145">
        <v>2</v>
      </c>
      <c r="G145" t="s">
        <v>329</v>
      </c>
      <c r="H145">
        <v>875626</v>
      </c>
      <c r="I145">
        <v>48</v>
      </c>
      <c r="J145">
        <v>12.25</v>
      </c>
      <c r="K145" t="s">
        <v>44</v>
      </c>
      <c r="L145">
        <v>0</v>
      </c>
      <c r="M145">
        <v>363541.36324267398</v>
      </c>
      <c r="N145">
        <v>7573.78</v>
      </c>
      <c r="O145" t="s">
        <v>26</v>
      </c>
      <c r="P145">
        <v>1</v>
      </c>
      <c r="Q145">
        <v>3</v>
      </c>
      <c r="R145" t="s">
        <v>34</v>
      </c>
      <c r="S145">
        <v>1</v>
      </c>
      <c r="T145" t="s">
        <v>28</v>
      </c>
      <c r="U145" t="s">
        <v>29</v>
      </c>
    </row>
    <row r="146" spans="1:21" x14ac:dyDescent="0.25">
      <c r="A146" t="s">
        <v>330</v>
      </c>
      <c r="B146">
        <v>43</v>
      </c>
      <c r="C146" t="s">
        <v>22</v>
      </c>
      <c r="D146" t="s">
        <v>23</v>
      </c>
      <c r="E146">
        <v>51059</v>
      </c>
      <c r="F146">
        <v>3</v>
      </c>
      <c r="G146" t="s">
        <v>331</v>
      </c>
      <c r="H146">
        <v>1470623</v>
      </c>
      <c r="I146">
        <v>48</v>
      </c>
      <c r="J146">
        <v>7.03</v>
      </c>
      <c r="K146" t="s">
        <v>33</v>
      </c>
      <c r="L146">
        <v>2039022.5052376899</v>
      </c>
      <c r="M146">
        <v>963989.88332185301</v>
      </c>
      <c r="N146">
        <v>20083.12</v>
      </c>
      <c r="O146" t="s">
        <v>26</v>
      </c>
      <c r="P146">
        <v>2</v>
      </c>
      <c r="Q146">
        <v>107</v>
      </c>
      <c r="R146" t="s">
        <v>34</v>
      </c>
      <c r="S146">
        <v>1</v>
      </c>
      <c r="T146" t="s">
        <v>38</v>
      </c>
      <c r="U146" t="s">
        <v>29</v>
      </c>
    </row>
    <row r="147" spans="1:21" x14ac:dyDescent="0.25">
      <c r="A147" t="s">
        <v>332</v>
      </c>
      <c r="B147">
        <v>59</v>
      </c>
      <c r="C147" t="s">
        <v>22</v>
      </c>
      <c r="D147" t="s">
        <v>49</v>
      </c>
      <c r="E147">
        <v>215641</v>
      </c>
      <c r="F147">
        <v>2</v>
      </c>
      <c r="G147" t="s">
        <v>333</v>
      </c>
      <c r="H147">
        <v>1492181</v>
      </c>
      <c r="I147">
        <v>36</v>
      </c>
      <c r="J147">
        <v>15.85</v>
      </c>
      <c r="K147" t="s">
        <v>25</v>
      </c>
      <c r="L147">
        <v>1340937.2556573399</v>
      </c>
      <c r="M147">
        <v>1337482.34648733</v>
      </c>
      <c r="N147">
        <v>37152.29</v>
      </c>
      <c r="O147" t="s">
        <v>26</v>
      </c>
      <c r="P147">
        <v>3</v>
      </c>
      <c r="Q147">
        <v>125</v>
      </c>
      <c r="R147" t="s">
        <v>34</v>
      </c>
      <c r="S147">
        <v>3</v>
      </c>
      <c r="T147" t="s">
        <v>41</v>
      </c>
      <c r="U147" t="s">
        <v>29</v>
      </c>
    </row>
    <row r="148" spans="1:21" x14ac:dyDescent="0.25">
      <c r="A148" t="s">
        <v>334</v>
      </c>
      <c r="B148">
        <v>35</v>
      </c>
      <c r="C148" t="s">
        <v>22</v>
      </c>
      <c r="D148" t="s">
        <v>49</v>
      </c>
      <c r="E148">
        <v>118409</v>
      </c>
      <c r="F148">
        <v>3</v>
      </c>
      <c r="G148" t="s">
        <v>335</v>
      </c>
      <c r="H148">
        <v>1460023</v>
      </c>
      <c r="I148">
        <v>60</v>
      </c>
      <c r="J148">
        <v>9.66</v>
      </c>
      <c r="K148" t="s">
        <v>44</v>
      </c>
      <c r="L148">
        <v>0</v>
      </c>
      <c r="M148">
        <v>450011.031032058</v>
      </c>
      <c r="N148">
        <v>7500.18</v>
      </c>
      <c r="O148" t="s">
        <v>37</v>
      </c>
      <c r="P148">
        <v>1</v>
      </c>
      <c r="Q148">
        <v>27</v>
      </c>
      <c r="R148" t="s">
        <v>34</v>
      </c>
      <c r="S148">
        <v>2</v>
      </c>
      <c r="T148" t="s">
        <v>38</v>
      </c>
      <c r="U148" t="s">
        <v>29</v>
      </c>
    </row>
    <row r="149" spans="1:21" x14ac:dyDescent="0.25">
      <c r="A149" t="s">
        <v>336</v>
      </c>
      <c r="B149">
        <v>63</v>
      </c>
      <c r="C149" t="s">
        <v>22</v>
      </c>
      <c r="D149" t="s">
        <v>23</v>
      </c>
      <c r="E149">
        <v>163159</v>
      </c>
      <c r="F149">
        <v>1</v>
      </c>
      <c r="G149" t="s">
        <v>337</v>
      </c>
      <c r="H149">
        <v>292188</v>
      </c>
      <c r="I149">
        <v>60</v>
      </c>
      <c r="J149">
        <v>16.87</v>
      </c>
      <c r="K149" t="s">
        <v>33</v>
      </c>
      <c r="L149">
        <v>398229.56831518898</v>
      </c>
      <c r="M149">
        <v>135521.90123157401</v>
      </c>
      <c r="N149">
        <v>2258.6999999999998</v>
      </c>
      <c r="O149" t="s">
        <v>68</v>
      </c>
      <c r="P149">
        <v>8</v>
      </c>
      <c r="Q149">
        <v>110</v>
      </c>
      <c r="R149" t="s">
        <v>34</v>
      </c>
      <c r="S149">
        <v>3</v>
      </c>
      <c r="T149" t="s">
        <v>45</v>
      </c>
      <c r="U149" t="s">
        <v>29</v>
      </c>
    </row>
    <row r="150" spans="1:21" x14ac:dyDescent="0.25">
      <c r="A150" t="s">
        <v>338</v>
      </c>
      <c r="B150">
        <v>49</v>
      </c>
      <c r="C150" t="s">
        <v>22</v>
      </c>
      <c r="D150" t="s">
        <v>23</v>
      </c>
      <c r="E150">
        <v>20704</v>
      </c>
      <c r="F150">
        <v>3</v>
      </c>
      <c r="G150" t="s">
        <v>339</v>
      </c>
      <c r="H150">
        <v>426047</v>
      </c>
      <c r="I150">
        <v>12</v>
      </c>
      <c r="J150">
        <v>12.35</v>
      </c>
      <c r="K150" t="s">
        <v>44</v>
      </c>
      <c r="L150">
        <v>0</v>
      </c>
      <c r="M150">
        <v>423464.591428974</v>
      </c>
      <c r="N150">
        <v>35288.720000000001</v>
      </c>
      <c r="O150" t="s">
        <v>68</v>
      </c>
      <c r="P150">
        <v>12</v>
      </c>
      <c r="Q150">
        <v>92</v>
      </c>
      <c r="R150" t="s">
        <v>34</v>
      </c>
      <c r="S150">
        <v>2</v>
      </c>
      <c r="T150" t="s">
        <v>41</v>
      </c>
      <c r="U150" t="s">
        <v>29</v>
      </c>
    </row>
    <row r="151" spans="1:21" x14ac:dyDescent="0.25">
      <c r="A151" t="s">
        <v>340</v>
      </c>
      <c r="B151">
        <v>56</v>
      </c>
      <c r="C151" t="s">
        <v>22</v>
      </c>
      <c r="D151" t="s">
        <v>23</v>
      </c>
      <c r="E151">
        <v>206648</v>
      </c>
      <c r="F151">
        <v>1</v>
      </c>
      <c r="G151" t="s">
        <v>341</v>
      </c>
      <c r="H151">
        <v>903823</v>
      </c>
      <c r="I151">
        <v>24</v>
      </c>
      <c r="J151">
        <v>7.37</v>
      </c>
      <c r="K151" t="s">
        <v>44</v>
      </c>
      <c r="L151">
        <v>0</v>
      </c>
      <c r="M151">
        <v>796901.93704916094</v>
      </c>
      <c r="N151">
        <v>33204.25</v>
      </c>
      <c r="O151" t="s">
        <v>26</v>
      </c>
      <c r="P151">
        <v>1</v>
      </c>
      <c r="Q151">
        <v>162</v>
      </c>
      <c r="R151" t="s">
        <v>34</v>
      </c>
      <c r="S151">
        <v>0</v>
      </c>
      <c r="T151" t="s">
        <v>45</v>
      </c>
      <c r="U151" t="s">
        <v>29</v>
      </c>
    </row>
    <row r="152" spans="1:21" x14ac:dyDescent="0.25">
      <c r="A152" t="s">
        <v>342</v>
      </c>
      <c r="B152">
        <v>33</v>
      </c>
      <c r="C152" t="s">
        <v>31</v>
      </c>
      <c r="D152" t="s">
        <v>49</v>
      </c>
      <c r="E152">
        <v>219456</v>
      </c>
      <c r="F152">
        <v>3</v>
      </c>
      <c r="G152" t="s">
        <v>343</v>
      </c>
      <c r="H152">
        <v>287501</v>
      </c>
      <c r="I152">
        <v>60</v>
      </c>
      <c r="J152">
        <v>6.81</v>
      </c>
      <c r="K152" t="s">
        <v>25</v>
      </c>
      <c r="L152">
        <v>220534.831718703</v>
      </c>
      <c r="M152">
        <v>174851.17140651401</v>
      </c>
      <c r="N152">
        <v>2914.19</v>
      </c>
      <c r="O152" t="s">
        <v>37</v>
      </c>
      <c r="P152">
        <v>2</v>
      </c>
      <c r="Q152">
        <v>117</v>
      </c>
      <c r="R152" t="s">
        <v>27</v>
      </c>
      <c r="S152">
        <v>7</v>
      </c>
      <c r="T152" t="s">
        <v>45</v>
      </c>
      <c r="U152" t="s">
        <v>29</v>
      </c>
    </row>
    <row r="153" spans="1:21" x14ac:dyDescent="0.25">
      <c r="A153" t="s">
        <v>344</v>
      </c>
      <c r="B153">
        <v>52</v>
      </c>
      <c r="C153" t="s">
        <v>22</v>
      </c>
      <c r="D153" t="s">
        <v>49</v>
      </c>
      <c r="E153">
        <v>233200</v>
      </c>
      <c r="F153">
        <v>0</v>
      </c>
      <c r="G153" t="s">
        <v>345</v>
      </c>
      <c r="H153">
        <v>1418722</v>
      </c>
      <c r="I153">
        <v>36</v>
      </c>
      <c r="J153">
        <v>12.49</v>
      </c>
      <c r="K153" t="s">
        <v>44</v>
      </c>
      <c r="L153">
        <v>0</v>
      </c>
      <c r="M153">
        <v>801528.03733361303</v>
      </c>
      <c r="N153">
        <v>22264.67</v>
      </c>
      <c r="O153" t="s">
        <v>37</v>
      </c>
      <c r="P153">
        <v>3</v>
      </c>
      <c r="Q153">
        <v>39</v>
      </c>
      <c r="R153" t="s">
        <v>34</v>
      </c>
      <c r="S153">
        <v>2</v>
      </c>
      <c r="T153" t="s">
        <v>38</v>
      </c>
      <c r="U153" t="s">
        <v>29</v>
      </c>
    </row>
    <row r="154" spans="1:21" x14ac:dyDescent="0.25">
      <c r="A154" t="s">
        <v>346</v>
      </c>
      <c r="B154">
        <v>27</v>
      </c>
      <c r="C154" t="s">
        <v>31</v>
      </c>
      <c r="D154" t="s">
        <v>23</v>
      </c>
      <c r="E154">
        <v>126279</v>
      </c>
      <c r="F154">
        <v>2</v>
      </c>
      <c r="G154" t="s">
        <v>347</v>
      </c>
      <c r="H154">
        <v>347675</v>
      </c>
      <c r="I154">
        <v>60</v>
      </c>
      <c r="J154">
        <v>14.9</v>
      </c>
      <c r="K154" t="s">
        <v>25</v>
      </c>
      <c r="L154">
        <v>359725.736430283</v>
      </c>
      <c r="M154">
        <v>123821.094126002</v>
      </c>
      <c r="N154">
        <v>2063.6799999999998</v>
      </c>
      <c r="O154" t="s">
        <v>26</v>
      </c>
      <c r="P154">
        <v>2</v>
      </c>
      <c r="Q154">
        <v>111</v>
      </c>
      <c r="R154" t="s">
        <v>34</v>
      </c>
      <c r="S154">
        <v>1</v>
      </c>
      <c r="T154" t="s">
        <v>45</v>
      </c>
      <c r="U154" t="s">
        <v>29</v>
      </c>
    </row>
    <row r="155" spans="1:21" x14ac:dyDescent="0.25">
      <c r="A155" t="s">
        <v>348</v>
      </c>
      <c r="B155">
        <v>42</v>
      </c>
      <c r="C155" t="s">
        <v>31</v>
      </c>
      <c r="D155" t="s">
        <v>23</v>
      </c>
      <c r="E155">
        <v>218532</v>
      </c>
      <c r="F155">
        <v>0</v>
      </c>
      <c r="G155" t="s">
        <v>349</v>
      </c>
      <c r="H155">
        <v>758175</v>
      </c>
      <c r="I155">
        <v>36</v>
      </c>
      <c r="J155">
        <v>15.16</v>
      </c>
      <c r="K155" t="s">
        <v>44</v>
      </c>
      <c r="L155">
        <v>0</v>
      </c>
      <c r="M155">
        <v>428739.232057388</v>
      </c>
      <c r="N155">
        <v>11909.42</v>
      </c>
      <c r="O155" t="s">
        <v>26</v>
      </c>
      <c r="P155">
        <v>3</v>
      </c>
      <c r="Q155">
        <v>45</v>
      </c>
      <c r="R155" t="s">
        <v>34</v>
      </c>
      <c r="S155">
        <v>0</v>
      </c>
      <c r="T155" t="s">
        <v>41</v>
      </c>
      <c r="U155" t="s">
        <v>29</v>
      </c>
    </row>
    <row r="156" spans="1:21" x14ac:dyDescent="0.25">
      <c r="A156" t="s">
        <v>350</v>
      </c>
      <c r="B156">
        <v>48</v>
      </c>
      <c r="C156" t="s">
        <v>22</v>
      </c>
      <c r="D156" t="s">
        <v>23</v>
      </c>
      <c r="E156">
        <v>173280</v>
      </c>
      <c r="F156">
        <v>3</v>
      </c>
      <c r="G156" t="s">
        <v>351</v>
      </c>
      <c r="H156">
        <v>1627850</v>
      </c>
      <c r="I156">
        <v>36</v>
      </c>
      <c r="J156">
        <v>8.58</v>
      </c>
      <c r="K156" t="s">
        <v>44</v>
      </c>
      <c r="L156">
        <v>0</v>
      </c>
      <c r="M156">
        <v>1405426.0267775101</v>
      </c>
      <c r="N156">
        <v>39039.61</v>
      </c>
      <c r="O156" t="s">
        <v>26</v>
      </c>
      <c r="P156">
        <v>3</v>
      </c>
      <c r="Q156">
        <v>133</v>
      </c>
      <c r="R156" t="s">
        <v>65</v>
      </c>
      <c r="S156">
        <v>7</v>
      </c>
      <c r="T156" t="s">
        <v>45</v>
      </c>
      <c r="U156" t="s">
        <v>29</v>
      </c>
    </row>
    <row r="157" spans="1:21" x14ac:dyDescent="0.25">
      <c r="A157" t="s">
        <v>352</v>
      </c>
      <c r="B157">
        <v>22</v>
      </c>
      <c r="C157" t="s">
        <v>31</v>
      </c>
      <c r="D157" t="s">
        <v>49</v>
      </c>
      <c r="E157">
        <v>133516</v>
      </c>
      <c r="F157">
        <v>3</v>
      </c>
      <c r="G157" t="s">
        <v>353</v>
      </c>
      <c r="H157">
        <v>1917306</v>
      </c>
      <c r="I157">
        <v>24</v>
      </c>
      <c r="J157">
        <v>7.66</v>
      </c>
      <c r="K157" t="s">
        <v>44</v>
      </c>
      <c r="L157">
        <v>0</v>
      </c>
      <c r="M157">
        <v>1374050.8848191099</v>
      </c>
      <c r="N157">
        <v>57252.12</v>
      </c>
      <c r="O157" t="s">
        <v>68</v>
      </c>
      <c r="P157">
        <v>1</v>
      </c>
      <c r="Q157">
        <v>166</v>
      </c>
      <c r="R157" t="s">
        <v>34</v>
      </c>
      <c r="S157">
        <v>2</v>
      </c>
      <c r="T157" t="s">
        <v>45</v>
      </c>
      <c r="U157" t="s">
        <v>29</v>
      </c>
    </row>
    <row r="158" spans="1:21" x14ac:dyDescent="0.25">
      <c r="A158" t="s">
        <v>354</v>
      </c>
      <c r="B158">
        <v>62</v>
      </c>
      <c r="C158" t="s">
        <v>31</v>
      </c>
      <c r="D158" t="s">
        <v>23</v>
      </c>
      <c r="E158">
        <v>231222</v>
      </c>
      <c r="F158">
        <v>3</v>
      </c>
      <c r="G158" t="s">
        <v>355</v>
      </c>
      <c r="H158">
        <v>313625</v>
      </c>
      <c r="I158">
        <v>36</v>
      </c>
      <c r="J158">
        <v>5.22</v>
      </c>
      <c r="K158" t="s">
        <v>44</v>
      </c>
      <c r="L158">
        <v>0</v>
      </c>
      <c r="M158">
        <v>113231.052503589</v>
      </c>
      <c r="N158">
        <v>3145.31</v>
      </c>
      <c r="O158" t="s">
        <v>26</v>
      </c>
      <c r="P158">
        <v>1</v>
      </c>
      <c r="Q158">
        <v>69</v>
      </c>
      <c r="R158" t="s">
        <v>34</v>
      </c>
      <c r="S158">
        <v>2</v>
      </c>
      <c r="T158" t="s">
        <v>38</v>
      </c>
      <c r="U158" t="s">
        <v>29</v>
      </c>
    </row>
    <row r="159" spans="1:21" x14ac:dyDescent="0.25">
      <c r="A159" t="s">
        <v>356</v>
      </c>
      <c r="B159">
        <v>26</v>
      </c>
      <c r="C159" t="s">
        <v>22</v>
      </c>
      <c r="D159" t="s">
        <v>23</v>
      </c>
      <c r="E159">
        <v>212096</v>
      </c>
      <c r="F159">
        <v>1</v>
      </c>
      <c r="G159" t="s">
        <v>357</v>
      </c>
      <c r="H159">
        <v>892840</v>
      </c>
      <c r="I159">
        <v>48</v>
      </c>
      <c r="J159">
        <v>13.83</v>
      </c>
      <c r="K159" t="s">
        <v>25</v>
      </c>
      <c r="L159">
        <v>1213156.5550171901</v>
      </c>
      <c r="M159">
        <v>251171.542546093</v>
      </c>
      <c r="N159">
        <v>5232.74</v>
      </c>
      <c r="O159" t="s">
        <v>26</v>
      </c>
      <c r="P159">
        <v>1</v>
      </c>
      <c r="Q159">
        <v>157</v>
      </c>
      <c r="R159" t="s">
        <v>34</v>
      </c>
      <c r="S159">
        <v>3</v>
      </c>
      <c r="T159" t="s">
        <v>45</v>
      </c>
      <c r="U159" t="s">
        <v>29</v>
      </c>
    </row>
    <row r="160" spans="1:21" x14ac:dyDescent="0.25">
      <c r="A160" t="s">
        <v>358</v>
      </c>
      <c r="B160">
        <v>48</v>
      </c>
      <c r="C160" t="s">
        <v>22</v>
      </c>
      <c r="D160" t="s">
        <v>23</v>
      </c>
      <c r="E160">
        <v>185954</v>
      </c>
      <c r="F160">
        <v>2</v>
      </c>
      <c r="G160" t="s">
        <v>359</v>
      </c>
      <c r="H160">
        <v>250339</v>
      </c>
      <c r="I160">
        <v>36</v>
      </c>
      <c r="J160">
        <v>6</v>
      </c>
      <c r="K160" t="s">
        <v>33</v>
      </c>
      <c r="L160">
        <v>206750.30942909399</v>
      </c>
      <c r="M160">
        <v>84786.735948924295</v>
      </c>
      <c r="N160">
        <v>2355.19</v>
      </c>
      <c r="O160" t="s">
        <v>37</v>
      </c>
      <c r="P160">
        <v>0</v>
      </c>
      <c r="Q160">
        <v>0</v>
      </c>
      <c r="R160" t="s">
        <v>27</v>
      </c>
      <c r="S160">
        <v>4</v>
      </c>
      <c r="T160" t="s">
        <v>28</v>
      </c>
      <c r="U160" t="s">
        <v>29</v>
      </c>
    </row>
    <row r="161" spans="1:21" x14ac:dyDescent="0.25">
      <c r="A161" t="s">
        <v>360</v>
      </c>
      <c r="B161">
        <v>48</v>
      </c>
      <c r="C161" t="s">
        <v>22</v>
      </c>
      <c r="D161" t="s">
        <v>23</v>
      </c>
      <c r="E161">
        <v>171995</v>
      </c>
      <c r="F161">
        <v>2</v>
      </c>
      <c r="G161" t="s">
        <v>361</v>
      </c>
      <c r="H161">
        <v>1744814</v>
      </c>
      <c r="I161">
        <v>60</v>
      </c>
      <c r="J161">
        <v>10.47</v>
      </c>
      <c r="K161" t="s">
        <v>64</v>
      </c>
      <c r="L161">
        <v>2537033.30069996</v>
      </c>
      <c r="M161">
        <v>441059.80809712101</v>
      </c>
      <c r="N161">
        <v>7351</v>
      </c>
      <c r="O161" t="s">
        <v>26</v>
      </c>
      <c r="P161">
        <v>2</v>
      </c>
      <c r="Q161">
        <v>137</v>
      </c>
      <c r="R161" t="s">
        <v>34</v>
      </c>
      <c r="S161">
        <v>3</v>
      </c>
      <c r="T161" t="s">
        <v>38</v>
      </c>
      <c r="U161" t="s">
        <v>29</v>
      </c>
    </row>
    <row r="162" spans="1:21" x14ac:dyDescent="0.25">
      <c r="A162" t="s">
        <v>362</v>
      </c>
      <c r="B162">
        <v>64</v>
      </c>
      <c r="C162" t="s">
        <v>22</v>
      </c>
      <c r="D162" t="s">
        <v>49</v>
      </c>
      <c r="E162">
        <v>129044</v>
      </c>
      <c r="F162">
        <v>3</v>
      </c>
      <c r="G162" t="s">
        <v>363</v>
      </c>
      <c r="H162">
        <v>984339</v>
      </c>
      <c r="I162">
        <v>72</v>
      </c>
      <c r="J162">
        <v>12.82</v>
      </c>
      <c r="K162" t="s">
        <v>33</v>
      </c>
      <c r="L162">
        <v>612140.24690398504</v>
      </c>
      <c r="M162">
        <v>183162.48037496</v>
      </c>
      <c r="N162">
        <v>2543.92</v>
      </c>
      <c r="O162" t="s">
        <v>26</v>
      </c>
      <c r="P162">
        <v>0</v>
      </c>
      <c r="Q162">
        <v>0</v>
      </c>
      <c r="R162" t="s">
        <v>34</v>
      </c>
      <c r="S162">
        <v>2</v>
      </c>
      <c r="T162" t="s">
        <v>38</v>
      </c>
      <c r="U162" t="s">
        <v>29</v>
      </c>
    </row>
    <row r="163" spans="1:21" x14ac:dyDescent="0.25">
      <c r="A163" t="s">
        <v>364</v>
      </c>
      <c r="B163">
        <v>64</v>
      </c>
      <c r="C163" t="s">
        <v>22</v>
      </c>
      <c r="D163" t="s">
        <v>23</v>
      </c>
      <c r="E163">
        <v>247549</v>
      </c>
      <c r="F163">
        <v>3</v>
      </c>
      <c r="G163" t="s">
        <v>365</v>
      </c>
      <c r="H163">
        <v>175355</v>
      </c>
      <c r="I163">
        <v>48</v>
      </c>
      <c r="J163">
        <v>17.18</v>
      </c>
      <c r="K163" t="s">
        <v>44</v>
      </c>
      <c r="L163">
        <v>0</v>
      </c>
      <c r="M163">
        <v>83683.361482357897</v>
      </c>
      <c r="N163">
        <v>1743.4</v>
      </c>
      <c r="O163" t="s">
        <v>37</v>
      </c>
      <c r="P163">
        <v>1</v>
      </c>
      <c r="Q163">
        <v>123</v>
      </c>
      <c r="R163" t="s">
        <v>34</v>
      </c>
      <c r="S163">
        <v>1</v>
      </c>
      <c r="T163" t="s">
        <v>41</v>
      </c>
      <c r="U163" t="s">
        <v>29</v>
      </c>
    </row>
    <row r="164" spans="1:21" x14ac:dyDescent="0.25">
      <c r="A164" t="s">
        <v>366</v>
      </c>
      <c r="B164">
        <v>40</v>
      </c>
      <c r="C164" t="s">
        <v>22</v>
      </c>
      <c r="D164" t="s">
        <v>49</v>
      </c>
      <c r="E164">
        <v>44165</v>
      </c>
      <c r="F164">
        <v>1</v>
      </c>
      <c r="G164" t="s">
        <v>367</v>
      </c>
      <c r="H164">
        <v>77798</v>
      </c>
      <c r="I164">
        <v>60</v>
      </c>
      <c r="J164">
        <v>9.0500000000000007</v>
      </c>
      <c r="K164" t="s">
        <v>25</v>
      </c>
      <c r="L164">
        <v>40320.763874349301</v>
      </c>
      <c r="M164">
        <v>15712.8343606788</v>
      </c>
      <c r="N164">
        <v>261.88</v>
      </c>
      <c r="O164" t="s">
        <v>26</v>
      </c>
      <c r="P164">
        <v>1</v>
      </c>
      <c r="Q164">
        <v>119</v>
      </c>
      <c r="R164" t="s">
        <v>34</v>
      </c>
      <c r="S164">
        <v>3</v>
      </c>
      <c r="T164" t="s">
        <v>41</v>
      </c>
      <c r="U164" t="s">
        <v>29</v>
      </c>
    </row>
    <row r="165" spans="1:21" x14ac:dyDescent="0.25">
      <c r="A165" t="s">
        <v>368</v>
      </c>
      <c r="B165">
        <v>50</v>
      </c>
      <c r="C165" t="s">
        <v>31</v>
      </c>
      <c r="D165" t="s">
        <v>49</v>
      </c>
      <c r="E165">
        <v>82203</v>
      </c>
      <c r="F165">
        <v>0</v>
      </c>
      <c r="G165" t="s">
        <v>369</v>
      </c>
      <c r="H165">
        <v>665937</v>
      </c>
      <c r="I165">
        <v>36</v>
      </c>
      <c r="J165">
        <v>8.25</v>
      </c>
      <c r="K165" t="s">
        <v>44</v>
      </c>
      <c r="L165">
        <v>0</v>
      </c>
      <c r="M165">
        <v>169628.33965960299</v>
      </c>
      <c r="N165">
        <v>4711.8999999999996</v>
      </c>
      <c r="O165" t="s">
        <v>37</v>
      </c>
      <c r="P165">
        <v>0</v>
      </c>
      <c r="Q165">
        <v>0</v>
      </c>
      <c r="R165" t="s">
        <v>27</v>
      </c>
      <c r="S165">
        <v>7</v>
      </c>
      <c r="T165" t="s">
        <v>41</v>
      </c>
      <c r="U165" t="s">
        <v>29</v>
      </c>
    </row>
    <row r="166" spans="1:21" x14ac:dyDescent="0.25">
      <c r="A166" t="s">
        <v>370</v>
      </c>
      <c r="B166">
        <v>31</v>
      </c>
      <c r="C166" t="s">
        <v>31</v>
      </c>
      <c r="D166" t="s">
        <v>23</v>
      </c>
      <c r="E166">
        <v>237821</v>
      </c>
      <c r="F166">
        <v>0</v>
      </c>
      <c r="G166" t="s">
        <v>371</v>
      </c>
      <c r="H166">
        <v>1425607</v>
      </c>
      <c r="I166">
        <v>36</v>
      </c>
      <c r="J166">
        <v>13.5</v>
      </c>
      <c r="K166" t="s">
        <v>44</v>
      </c>
      <c r="L166">
        <v>0</v>
      </c>
      <c r="M166">
        <v>844803.61114044604</v>
      </c>
      <c r="N166">
        <v>23466.77</v>
      </c>
      <c r="O166" t="s">
        <v>26</v>
      </c>
      <c r="P166">
        <v>0</v>
      </c>
      <c r="Q166">
        <v>0</v>
      </c>
      <c r="R166" t="s">
        <v>27</v>
      </c>
      <c r="S166">
        <v>1</v>
      </c>
      <c r="T166" t="s">
        <v>41</v>
      </c>
      <c r="U166" t="s">
        <v>29</v>
      </c>
    </row>
    <row r="167" spans="1:21" x14ac:dyDescent="0.25">
      <c r="A167" t="s">
        <v>372</v>
      </c>
      <c r="B167">
        <v>48</v>
      </c>
      <c r="C167" t="s">
        <v>22</v>
      </c>
      <c r="D167" t="s">
        <v>23</v>
      </c>
      <c r="E167">
        <v>19114</v>
      </c>
      <c r="F167">
        <v>2</v>
      </c>
      <c r="G167" t="s">
        <v>373</v>
      </c>
      <c r="H167">
        <v>69477</v>
      </c>
      <c r="I167">
        <v>60</v>
      </c>
      <c r="J167">
        <v>13.05</v>
      </c>
      <c r="K167" t="s">
        <v>25</v>
      </c>
      <c r="L167">
        <v>97555.111891074994</v>
      </c>
      <c r="M167">
        <v>17239.977364942799</v>
      </c>
      <c r="N167">
        <v>287.33</v>
      </c>
      <c r="O167" t="s">
        <v>37</v>
      </c>
      <c r="P167">
        <v>0</v>
      </c>
      <c r="Q167">
        <v>0</v>
      </c>
      <c r="R167" t="s">
        <v>27</v>
      </c>
      <c r="S167">
        <v>3</v>
      </c>
      <c r="T167" t="s">
        <v>28</v>
      </c>
      <c r="U167" t="s">
        <v>29</v>
      </c>
    </row>
    <row r="168" spans="1:21" x14ac:dyDescent="0.25">
      <c r="A168" t="s">
        <v>374</v>
      </c>
      <c r="B168">
        <v>45</v>
      </c>
      <c r="C168" t="s">
        <v>22</v>
      </c>
      <c r="D168" t="s">
        <v>49</v>
      </c>
      <c r="E168">
        <v>211037</v>
      </c>
      <c r="F168">
        <v>1</v>
      </c>
      <c r="G168" t="s">
        <v>375</v>
      </c>
      <c r="H168">
        <v>1509058</v>
      </c>
      <c r="I168">
        <v>36</v>
      </c>
      <c r="J168">
        <v>9.32</v>
      </c>
      <c r="K168" t="s">
        <v>44</v>
      </c>
      <c r="L168">
        <v>0</v>
      </c>
      <c r="M168">
        <v>237664.24667176901</v>
      </c>
      <c r="N168">
        <v>6601.78</v>
      </c>
      <c r="O168" t="s">
        <v>37</v>
      </c>
      <c r="P168">
        <v>1</v>
      </c>
      <c r="Q168">
        <v>111</v>
      </c>
      <c r="R168" t="s">
        <v>27</v>
      </c>
      <c r="S168">
        <v>6</v>
      </c>
      <c r="T168" t="s">
        <v>38</v>
      </c>
      <c r="U168" t="s">
        <v>29</v>
      </c>
    </row>
    <row r="169" spans="1:21" x14ac:dyDescent="0.25">
      <c r="A169" t="s">
        <v>376</v>
      </c>
      <c r="B169">
        <v>59</v>
      </c>
      <c r="C169" t="s">
        <v>22</v>
      </c>
      <c r="D169" t="s">
        <v>23</v>
      </c>
      <c r="E169">
        <v>51321</v>
      </c>
      <c r="F169">
        <v>3</v>
      </c>
      <c r="G169" t="s">
        <v>377</v>
      </c>
      <c r="H169">
        <v>267400</v>
      </c>
      <c r="I169">
        <v>48</v>
      </c>
      <c r="J169">
        <v>17.07</v>
      </c>
      <c r="K169" t="s">
        <v>44</v>
      </c>
      <c r="L169">
        <v>0</v>
      </c>
      <c r="M169">
        <v>103122.800647711</v>
      </c>
      <c r="N169">
        <v>2148.39</v>
      </c>
      <c r="O169" t="s">
        <v>26</v>
      </c>
      <c r="P169">
        <v>0</v>
      </c>
      <c r="Q169">
        <v>0</v>
      </c>
      <c r="R169" t="s">
        <v>34</v>
      </c>
      <c r="S169">
        <v>2</v>
      </c>
      <c r="T169" t="s">
        <v>45</v>
      </c>
      <c r="U169" t="s">
        <v>29</v>
      </c>
    </row>
    <row r="170" spans="1:21" x14ac:dyDescent="0.25">
      <c r="A170" t="s">
        <v>378</v>
      </c>
      <c r="B170">
        <v>53</v>
      </c>
      <c r="C170" t="s">
        <v>22</v>
      </c>
      <c r="D170" t="s">
        <v>23</v>
      </c>
      <c r="E170">
        <v>88297</v>
      </c>
      <c r="F170">
        <v>2</v>
      </c>
      <c r="G170" t="s">
        <v>379</v>
      </c>
      <c r="H170">
        <v>1315636</v>
      </c>
      <c r="I170">
        <v>24</v>
      </c>
      <c r="J170">
        <v>15.98</v>
      </c>
      <c r="K170" t="s">
        <v>64</v>
      </c>
      <c r="L170">
        <v>748134.65653612197</v>
      </c>
      <c r="M170">
        <v>392437.36387115001</v>
      </c>
      <c r="N170">
        <v>16351.56</v>
      </c>
      <c r="O170" t="s">
        <v>26</v>
      </c>
      <c r="P170">
        <v>0</v>
      </c>
      <c r="Q170">
        <v>0</v>
      </c>
      <c r="R170" t="s">
        <v>34</v>
      </c>
      <c r="S170">
        <v>2</v>
      </c>
      <c r="T170" t="s">
        <v>41</v>
      </c>
      <c r="U170" t="s">
        <v>29</v>
      </c>
    </row>
    <row r="171" spans="1:21" x14ac:dyDescent="0.25">
      <c r="A171" t="s">
        <v>380</v>
      </c>
      <c r="B171">
        <v>21</v>
      </c>
      <c r="C171" t="s">
        <v>22</v>
      </c>
      <c r="D171" t="s">
        <v>58</v>
      </c>
      <c r="E171">
        <v>111652</v>
      </c>
      <c r="F171">
        <v>1</v>
      </c>
      <c r="G171" t="s">
        <v>381</v>
      </c>
      <c r="H171">
        <v>439959</v>
      </c>
      <c r="I171">
        <v>48</v>
      </c>
      <c r="J171">
        <v>7.91</v>
      </c>
      <c r="K171" t="s">
        <v>25</v>
      </c>
      <c r="L171">
        <v>656370.07875986304</v>
      </c>
      <c r="M171">
        <v>248037.739684336</v>
      </c>
      <c r="N171">
        <v>5167.45</v>
      </c>
      <c r="O171" t="s">
        <v>37</v>
      </c>
      <c r="P171">
        <v>2</v>
      </c>
      <c r="Q171">
        <v>151</v>
      </c>
      <c r="R171" t="s">
        <v>27</v>
      </c>
      <c r="S171">
        <v>4</v>
      </c>
      <c r="T171" t="s">
        <v>41</v>
      </c>
      <c r="U171" t="s">
        <v>29</v>
      </c>
    </row>
    <row r="172" spans="1:21" x14ac:dyDescent="0.25">
      <c r="A172" t="s">
        <v>382</v>
      </c>
      <c r="B172">
        <v>47</v>
      </c>
      <c r="C172" t="s">
        <v>31</v>
      </c>
      <c r="D172" t="s">
        <v>23</v>
      </c>
      <c r="E172">
        <v>114304</v>
      </c>
      <c r="F172">
        <v>0</v>
      </c>
      <c r="G172" t="s">
        <v>383</v>
      </c>
      <c r="H172">
        <v>1609757</v>
      </c>
      <c r="I172">
        <v>72</v>
      </c>
      <c r="J172">
        <v>8.11</v>
      </c>
      <c r="K172" t="s">
        <v>25</v>
      </c>
      <c r="L172">
        <v>2336396.2583488999</v>
      </c>
      <c r="M172">
        <v>309283.21787967201</v>
      </c>
      <c r="N172">
        <v>4295.6000000000004</v>
      </c>
      <c r="O172" t="s">
        <v>37</v>
      </c>
      <c r="P172">
        <v>0</v>
      </c>
      <c r="Q172">
        <v>0</v>
      </c>
      <c r="R172" t="s">
        <v>34</v>
      </c>
      <c r="S172">
        <v>0</v>
      </c>
      <c r="T172" t="s">
        <v>41</v>
      </c>
      <c r="U172" t="s">
        <v>29</v>
      </c>
    </row>
    <row r="173" spans="1:21" x14ac:dyDescent="0.25">
      <c r="A173" t="s">
        <v>384</v>
      </c>
      <c r="B173">
        <v>33</v>
      </c>
      <c r="C173" t="s">
        <v>22</v>
      </c>
      <c r="D173" t="s">
        <v>23</v>
      </c>
      <c r="E173">
        <v>171498</v>
      </c>
      <c r="F173">
        <v>1</v>
      </c>
      <c r="G173" t="s">
        <v>385</v>
      </c>
      <c r="H173">
        <v>1606407</v>
      </c>
      <c r="I173">
        <v>72</v>
      </c>
      <c r="J173">
        <v>11.66</v>
      </c>
      <c r="K173" t="s">
        <v>44</v>
      </c>
      <c r="L173">
        <v>0</v>
      </c>
      <c r="M173">
        <v>1247525.5701565</v>
      </c>
      <c r="N173">
        <v>17326.740000000002</v>
      </c>
      <c r="O173" t="s">
        <v>37</v>
      </c>
      <c r="P173">
        <v>1</v>
      </c>
      <c r="Q173">
        <v>68</v>
      </c>
      <c r="R173" t="s">
        <v>27</v>
      </c>
      <c r="S173">
        <v>10</v>
      </c>
      <c r="T173" t="s">
        <v>45</v>
      </c>
      <c r="U173" t="s">
        <v>29</v>
      </c>
    </row>
    <row r="174" spans="1:21" x14ac:dyDescent="0.25">
      <c r="A174" t="s">
        <v>386</v>
      </c>
      <c r="B174">
        <v>61</v>
      </c>
      <c r="C174" t="s">
        <v>31</v>
      </c>
      <c r="D174" t="s">
        <v>23</v>
      </c>
      <c r="E174">
        <v>32772</v>
      </c>
      <c r="F174">
        <v>0</v>
      </c>
      <c r="G174" t="s">
        <v>387</v>
      </c>
      <c r="H174">
        <v>1074374</v>
      </c>
      <c r="I174">
        <v>60</v>
      </c>
      <c r="J174">
        <v>15.06</v>
      </c>
      <c r="K174" t="s">
        <v>44</v>
      </c>
      <c r="L174">
        <v>0</v>
      </c>
      <c r="M174">
        <v>983707.75808864704</v>
      </c>
      <c r="N174">
        <v>16395.13</v>
      </c>
      <c r="O174" t="s">
        <v>37</v>
      </c>
      <c r="P174">
        <v>2</v>
      </c>
      <c r="Q174">
        <v>82</v>
      </c>
      <c r="R174" t="s">
        <v>34</v>
      </c>
      <c r="S174">
        <v>3</v>
      </c>
      <c r="T174" t="s">
        <v>41</v>
      </c>
      <c r="U174" t="s">
        <v>29</v>
      </c>
    </row>
    <row r="175" spans="1:21" x14ac:dyDescent="0.25">
      <c r="A175" t="s">
        <v>388</v>
      </c>
      <c r="B175">
        <v>23</v>
      </c>
      <c r="C175" t="s">
        <v>31</v>
      </c>
      <c r="D175" t="s">
        <v>58</v>
      </c>
      <c r="E175">
        <v>118754</v>
      </c>
      <c r="F175">
        <v>1</v>
      </c>
      <c r="G175" t="s">
        <v>389</v>
      </c>
      <c r="H175">
        <v>455105</v>
      </c>
      <c r="I175">
        <v>60</v>
      </c>
      <c r="J175">
        <v>5.57</v>
      </c>
      <c r="K175" t="s">
        <v>33</v>
      </c>
      <c r="L175">
        <v>289911.40126208001</v>
      </c>
      <c r="M175">
        <v>350017.45835900097</v>
      </c>
      <c r="N175">
        <v>5833.62</v>
      </c>
      <c r="O175" t="s">
        <v>26</v>
      </c>
      <c r="P175">
        <v>3</v>
      </c>
      <c r="Q175">
        <v>62</v>
      </c>
      <c r="R175" t="s">
        <v>34</v>
      </c>
      <c r="S175">
        <v>2</v>
      </c>
      <c r="T175" t="s">
        <v>45</v>
      </c>
      <c r="U175" t="s">
        <v>29</v>
      </c>
    </row>
    <row r="176" spans="1:21" x14ac:dyDescent="0.25">
      <c r="A176" t="s">
        <v>390</v>
      </c>
      <c r="B176">
        <v>59</v>
      </c>
      <c r="C176" t="s">
        <v>22</v>
      </c>
      <c r="D176" t="s">
        <v>23</v>
      </c>
      <c r="E176">
        <v>18712</v>
      </c>
      <c r="F176">
        <v>2</v>
      </c>
      <c r="G176" t="s">
        <v>391</v>
      </c>
      <c r="H176">
        <v>1385055</v>
      </c>
      <c r="I176">
        <v>48</v>
      </c>
      <c r="J176">
        <v>14.01</v>
      </c>
      <c r="K176" t="s">
        <v>44</v>
      </c>
      <c r="L176">
        <v>0</v>
      </c>
      <c r="M176">
        <v>802700.77705918904</v>
      </c>
      <c r="N176">
        <v>16722.93</v>
      </c>
      <c r="O176" t="s">
        <v>26</v>
      </c>
      <c r="P176">
        <v>1</v>
      </c>
      <c r="Q176">
        <v>22</v>
      </c>
      <c r="R176" t="s">
        <v>27</v>
      </c>
      <c r="S176">
        <v>0</v>
      </c>
      <c r="T176" t="s">
        <v>38</v>
      </c>
      <c r="U176" t="s">
        <v>29</v>
      </c>
    </row>
    <row r="177" spans="1:21" x14ac:dyDescent="0.25">
      <c r="A177" t="s">
        <v>392</v>
      </c>
      <c r="B177">
        <v>26</v>
      </c>
      <c r="C177" t="s">
        <v>31</v>
      </c>
      <c r="D177" t="s">
        <v>23</v>
      </c>
      <c r="E177">
        <v>147439</v>
      </c>
      <c r="F177">
        <v>0</v>
      </c>
      <c r="G177" t="s">
        <v>393</v>
      </c>
      <c r="H177">
        <v>1447330</v>
      </c>
      <c r="I177">
        <v>48</v>
      </c>
      <c r="J177">
        <v>13.43</v>
      </c>
      <c r="K177" t="s">
        <v>25</v>
      </c>
      <c r="L177">
        <v>1501727.3563036199</v>
      </c>
      <c r="M177">
        <v>1265836.32265874</v>
      </c>
      <c r="N177">
        <v>26371.59</v>
      </c>
      <c r="O177" t="s">
        <v>68</v>
      </c>
      <c r="P177">
        <v>8</v>
      </c>
      <c r="Q177">
        <v>71</v>
      </c>
      <c r="R177" t="s">
        <v>27</v>
      </c>
      <c r="S177">
        <v>9</v>
      </c>
      <c r="T177" t="s">
        <v>38</v>
      </c>
      <c r="U177" t="s">
        <v>29</v>
      </c>
    </row>
    <row r="178" spans="1:21" x14ac:dyDescent="0.25">
      <c r="A178" t="s">
        <v>394</v>
      </c>
      <c r="B178">
        <v>28</v>
      </c>
      <c r="C178" t="s">
        <v>22</v>
      </c>
      <c r="D178" t="s">
        <v>23</v>
      </c>
      <c r="E178">
        <v>130142</v>
      </c>
      <c r="F178">
        <v>2</v>
      </c>
      <c r="G178" t="s">
        <v>395</v>
      </c>
      <c r="H178">
        <v>323586</v>
      </c>
      <c r="I178">
        <v>24</v>
      </c>
      <c r="J178">
        <v>8.01</v>
      </c>
      <c r="K178" t="s">
        <v>44</v>
      </c>
      <c r="L178">
        <v>0</v>
      </c>
      <c r="M178">
        <v>234737.872955981</v>
      </c>
      <c r="N178">
        <v>9780.74</v>
      </c>
      <c r="O178" t="s">
        <v>26</v>
      </c>
      <c r="P178">
        <v>1</v>
      </c>
      <c r="Q178">
        <v>115</v>
      </c>
      <c r="R178" t="s">
        <v>27</v>
      </c>
      <c r="S178">
        <v>10</v>
      </c>
      <c r="T178" t="s">
        <v>38</v>
      </c>
      <c r="U178" t="s">
        <v>29</v>
      </c>
    </row>
    <row r="179" spans="1:21" x14ac:dyDescent="0.25">
      <c r="A179" t="s">
        <v>396</v>
      </c>
      <c r="B179">
        <v>47</v>
      </c>
      <c r="C179" t="s">
        <v>22</v>
      </c>
      <c r="D179" t="s">
        <v>23</v>
      </c>
      <c r="E179">
        <v>106736</v>
      </c>
      <c r="F179">
        <v>2</v>
      </c>
      <c r="G179" t="s">
        <v>397</v>
      </c>
      <c r="H179">
        <v>1931297</v>
      </c>
      <c r="I179">
        <v>36</v>
      </c>
      <c r="J179">
        <v>13.86</v>
      </c>
      <c r="K179" t="s">
        <v>25</v>
      </c>
      <c r="L179">
        <v>1322784.5157373999</v>
      </c>
      <c r="M179">
        <v>211469.31602121599</v>
      </c>
      <c r="N179">
        <v>5874.15</v>
      </c>
      <c r="O179" t="s">
        <v>26</v>
      </c>
      <c r="P179">
        <v>3</v>
      </c>
      <c r="Q179">
        <v>62</v>
      </c>
      <c r="R179" t="s">
        <v>34</v>
      </c>
      <c r="S179">
        <v>0</v>
      </c>
      <c r="T179" t="s">
        <v>28</v>
      </c>
      <c r="U179" t="s">
        <v>29</v>
      </c>
    </row>
    <row r="180" spans="1:21" x14ac:dyDescent="0.25">
      <c r="A180" t="s">
        <v>398</v>
      </c>
      <c r="B180">
        <v>29</v>
      </c>
      <c r="C180" t="s">
        <v>22</v>
      </c>
      <c r="D180" t="s">
        <v>23</v>
      </c>
      <c r="E180">
        <v>66924</v>
      </c>
      <c r="F180">
        <v>0</v>
      </c>
      <c r="G180" t="s">
        <v>399</v>
      </c>
      <c r="H180">
        <v>1938755</v>
      </c>
      <c r="I180">
        <v>48</v>
      </c>
      <c r="J180">
        <v>17.22</v>
      </c>
      <c r="K180" t="s">
        <v>44</v>
      </c>
      <c r="L180">
        <v>0</v>
      </c>
      <c r="M180">
        <v>881515.328728099</v>
      </c>
      <c r="N180">
        <v>18364.900000000001</v>
      </c>
      <c r="O180" t="s">
        <v>26</v>
      </c>
      <c r="P180">
        <v>1</v>
      </c>
      <c r="Q180">
        <v>118</v>
      </c>
      <c r="R180" t="s">
        <v>27</v>
      </c>
      <c r="S180">
        <v>9</v>
      </c>
      <c r="T180" t="s">
        <v>45</v>
      </c>
      <c r="U180" t="s">
        <v>29</v>
      </c>
    </row>
    <row r="181" spans="1:21" x14ac:dyDescent="0.25">
      <c r="A181" t="s">
        <v>400</v>
      </c>
      <c r="B181">
        <v>57</v>
      </c>
      <c r="C181" t="s">
        <v>31</v>
      </c>
      <c r="D181" t="s">
        <v>23</v>
      </c>
      <c r="E181">
        <v>18726</v>
      </c>
      <c r="F181">
        <v>0</v>
      </c>
      <c r="G181" t="s">
        <v>401</v>
      </c>
      <c r="H181">
        <v>873759</v>
      </c>
      <c r="I181">
        <v>72</v>
      </c>
      <c r="J181">
        <v>5.61</v>
      </c>
      <c r="K181" t="s">
        <v>33</v>
      </c>
      <c r="L181">
        <v>810983.93583162501</v>
      </c>
      <c r="M181">
        <v>756550.09260640806</v>
      </c>
      <c r="N181">
        <v>10507.64</v>
      </c>
      <c r="O181" t="s">
        <v>26</v>
      </c>
      <c r="P181">
        <v>3</v>
      </c>
      <c r="Q181">
        <v>145</v>
      </c>
      <c r="R181" t="s">
        <v>34</v>
      </c>
      <c r="S181">
        <v>3</v>
      </c>
      <c r="T181" t="s">
        <v>41</v>
      </c>
      <c r="U181" t="s">
        <v>29</v>
      </c>
    </row>
    <row r="182" spans="1:21" x14ac:dyDescent="0.25">
      <c r="A182" t="s">
        <v>402</v>
      </c>
      <c r="B182">
        <v>53</v>
      </c>
      <c r="C182" t="s">
        <v>31</v>
      </c>
      <c r="D182" t="s">
        <v>23</v>
      </c>
      <c r="E182">
        <v>104152</v>
      </c>
      <c r="F182">
        <v>3</v>
      </c>
      <c r="G182" t="s">
        <v>403</v>
      </c>
      <c r="H182">
        <v>983703</v>
      </c>
      <c r="I182">
        <v>36</v>
      </c>
      <c r="J182">
        <v>9.16</v>
      </c>
      <c r="K182" t="s">
        <v>33</v>
      </c>
      <c r="L182">
        <v>552275.58392828505</v>
      </c>
      <c r="M182">
        <v>404570.45655016199</v>
      </c>
      <c r="N182">
        <v>11238.07</v>
      </c>
      <c r="O182" t="s">
        <v>26</v>
      </c>
      <c r="P182">
        <v>3</v>
      </c>
      <c r="Q182">
        <v>156</v>
      </c>
      <c r="R182" t="s">
        <v>34</v>
      </c>
      <c r="S182">
        <v>2</v>
      </c>
      <c r="T182" t="s">
        <v>41</v>
      </c>
      <c r="U182" t="s">
        <v>29</v>
      </c>
    </row>
    <row r="183" spans="1:21" x14ac:dyDescent="0.25">
      <c r="A183" t="s">
        <v>404</v>
      </c>
      <c r="B183">
        <v>62</v>
      </c>
      <c r="C183" t="s">
        <v>31</v>
      </c>
      <c r="D183" t="s">
        <v>23</v>
      </c>
      <c r="E183">
        <v>42723</v>
      </c>
      <c r="F183">
        <v>3</v>
      </c>
      <c r="G183" t="s">
        <v>405</v>
      </c>
      <c r="H183">
        <v>384971</v>
      </c>
      <c r="I183">
        <v>48</v>
      </c>
      <c r="J183">
        <v>10.7</v>
      </c>
      <c r="K183" t="s">
        <v>33</v>
      </c>
      <c r="L183">
        <v>278689.97248864098</v>
      </c>
      <c r="M183">
        <v>50698.238510564901</v>
      </c>
      <c r="N183">
        <v>1056.21</v>
      </c>
      <c r="O183" t="s">
        <v>68</v>
      </c>
      <c r="P183">
        <v>3</v>
      </c>
      <c r="Q183">
        <v>171</v>
      </c>
      <c r="R183" t="s">
        <v>65</v>
      </c>
      <c r="S183">
        <v>3</v>
      </c>
      <c r="T183" t="s">
        <v>41</v>
      </c>
      <c r="U183" t="s">
        <v>29</v>
      </c>
    </row>
    <row r="184" spans="1:21" x14ac:dyDescent="0.25">
      <c r="A184" t="s">
        <v>406</v>
      </c>
      <c r="B184">
        <v>64</v>
      </c>
      <c r="C184" t="s">
        <v>31</v>
      </c>
      <c r="D184" t="s">
        <v>23</v>
      </c>
      <c r="E184">
        <v>141969</v>
      </c>
      <c r="F184">
        <v>3</v>
      </c>
      <c r="G184" t="s">
        <v>407</v>
      </c>
      <c r="H184">
        <v>1729328</v>
      </c>
      <c r="I184">
        <v>48</v>
      </c>
      <c r="J184">
        <v>16.690000000000001</v>
      </c>
      <c r="K184" t="s">
        <v>44</v>
      </c>
      <c r="L184">
        <v>0</v>
      </c>
      <c r="M184">
        <v>1334283.2077804899</v>
      </c>
      <c r="N184">
        <v>27797.57</v>
      </c>
      <c r="O184" t="s">
        <v>26</v>
      </c>
      <c r="P184">
        <v>0</v>
      </c>
      <c r="Q184">
        <v>0</v>
      </c>
      <c r="R184" t="s">
        <v>27</v>
      </c>
      <c r="S184">
        <v>9</v>
      </c>
      <c r="T184" t="s">
        <v>41</v>
      </c>
      <c r="U184" t="s">
        <v>29</v>
      </c>
    </row>
    <row r="185" spans="1:21" x14ac:dyDescent="0.25">
      <c r="A185" t="s">
        <v>408</v>
      </c>
      <c r="B185">
        <v>44</v>
      </c>
      <c r="C185" t="s">
        <v>31</v>
      </c>
      <c r="D185" t="s">
        <v>23</v>
      </c>
      <c r="E185">
        <v>249182</v>
      </c>
      <c r="F185">
        <v>2</v>
      </c>
      <c r="G185" t="s">
        <v>409</v>
      </c>
      <c r="H185">
        <v>181184</v>
      </c>
      <c r="I185">
        <v>48</v>
      </c>
      <c r="J185">
        <v>17.510000000000002</v>
      </c>
      <c r="K185" t="s">
        <v>33</v>
      </c>
      <c r="L185">
        <v>156411.21834273799</v>
      </c>
      <c r="M185">
        <v>148903.25176663799</v>
      </c>
      <c r="N185">
        <v>3102.15</v>
      </c>
      <c r="O185" t="s">
        <v>26</v>
      </c>
      <c r="P185">
        <v>0</v>
      </c>
      <c r="Q185">
        <v>0</v>
      </c>
      <c r="R185" t="s">
        <v>34</v>
      </c>
      <c r="S185">
        <v>2</v>
      </c>
      <c r="T185" t="s">
        <v>28</v>
      </c>
      <c r="U185" t="s">
        <v>29</v>
      </c>
    </row>
    <row r="186" spans="1:21" x14ac:dyDescent="0.25">
      <c r="A186" t="s">
        <v>410</v>
      </c>
      <c r="B186">
        <v>35</v>
      </c>
      <c r="C186" t="s">
        <v>31</v>
      </c>
      <c r="D186" t="s">
        <v>23</v>
      </c>
      <c r="E186">
        <v>115494</v>
      </c>
      <c r="F186">
        <v>2</v>
      </c>
      <c r="G186" t="s">
        <v>411</v>
      </c>
      <c r="H186">
        <v>1185627</v>
      </c>
      <c r="I186">
        <v>60</v>
      </c>
      <c r="J186">
        <v>10.77</v>
      </c>
      <c r="K186" t="s">
        <v>25</v>
      </c>
      <c r="L186">
        <v>1112885.81977423</v>
      </c>
      <c r="M186">
        <v>289926.49878580199</v>
      </c>
      <c r="N186">
        <v>4832.1099999999997</v>
      </c>
      <c r="O186" t="s">
        <v>68</v>
      </c>
      <c r="P186">
        <v>10</v>
      </c>
      <c r="Q186">
        <v>97</v>
      </c>
      <c r="R186" t="s">
        <v>27</v>
      </c>
      <c r="S186">
        <v>3</v>
      </c>
      <c r="T186" t="s">
        <v>41</v>
      </c>
      <c r="U186" t="s">
        <v>29</v>
      </c>
    </row>
    <row r="187" spans="1:21" x14ac:dyDescent="0.25">
      <c r="A187" t="s">
        <v>412</v>
      </c>
      <c r="B187">
        <v>52</v>
      </c>
      <c r="C187" t="s">
        <v>31</v>
      </c>
      <c r="D187" t="s">
        <v>23</v>
      </c>
      <c r="E187">
        <v>155180</v>
      </c>
      <c r="F187">
        <v>3</v>
      </c>
      <c r="G187" t="s">
        <v>413</v>
      </c>
      <c r="H187">
        <v>200653</v>
      </c>
      <c r="I187">
        <v>24</v>
      </c>
      <c r="J187">
        <v>14.75</v>
      </c>
      <c r="K187" t="s">
        <v>44</v>
      </c>
      <c r="L187">
        <v>0</v>
      </c>
      <c r="M187">
        <v>117102.384441767</v>
      </c>
      <c r="N187">
        <v>4879.2700000000004</v>
      </c>
      <c r="O187" t="s">
        <v>68</v>
      </c>
      <c r="P187">
        <v>6</v>
      </c>
      <c r="Q187">
        <v>86</v>
      </c>
      <c r="R187" t="s">
        <v>34</v>
      </c>
      <c r="S187">
        <v>1</v>
      </c>
      <c r="T187" t="s">
        <v>28</v>
      </c>
      <c r="U187" t="s">
        <v>29</v>
      </c>
    </row>
    <row r="188" spans="1:21" x14ac:dyDescent="0.25">
      <c r="A188" t="s">
        <v>414</v>
      </c>
      <c r="B188">
        <v>52</v>
      </c>
      <c r="C188" t="s">
        <v>31</v>
      </c>
      <c r="D188" t="s">
        <v>49</v>
      </c>
      <c r="E188">
        <v>223786</v>
      </c>
      <c r="F188">
        <v>2</v>
      </c>
      <c r="G188" t="s">
        <v>415</v>
      </c>
      <c r="H188">
        <v>295300</v>
      </c>
      <c r="I188">
        <v>48</v>
      </c>
      <c r="J188">
        <v>11.91</v>
      </c>
      <c r="K188" t="s">
        <v>25</v>
      </c>
      <c r="L188">
        <v>436304.64504908602</v>
      </c>
      <c r="M188">
        <v>80545.997021894</v>
      </c>
      <c r="N188">
        <v>1678.04</v>
      </c>
      <c r="O188" t="s">
        <v>26</v>
      </c>
      <c r="P188">
        <v>2</v>
      </c>
      <c r="Q188">
        <v>7</v>
      </c>
      <c r="R188" t="s">
        <v>34</v>
      </c>
      <c r="S188">
        <v>2</v>
      </c>
      <c r="T188" t="s">
        <v>45</v>
      </c>
      <c r="U188" t="s">
        <v>29</v>
      </c>
    </row>
    <row r="189" spans="1:21" x14ac:dyDescent="0.25">
      <c r="A189" t="s">
        <v>416</v>
      </c>
      <c r="B189">
        <v>44</v>
      </c>
      <c r="C189" t="s">
        <v>22</v>
      </c>
      <c r="D189" t="s">
        <v>23</v>
      </c>
      <c r="E189">
        <v>50643</v>
      </c>
      <c r="F189">
        <v>2</v>
      </c>
      <c r="G189" t="s">
        <v>417</v>
      </c>
      <c r="H189">
        <v>634010</v>
      </c>
      <c r="I189">
        <v>60</v>
      </c>
      <c r="J189">
        <v>11.99</v>
      </c>
      <c r="K189" t="s">
        <v>44</v>
      </c>
      <c r="L189">
        <v>0</v>
      </c>
      <c r="M189">
        <v>473802.63261636201</v>
      </c>
      <c r="N189">
        <v>7896.71</v>
      </c>
      <c r="O189" t="s">
        <v>26</v>
      </c>
      <c r="P189">
        <v>3</v>
      </c>
      <c r="Q189">
        <v>126</v>
      </c>
      <c r="R189" t="s">
        <v>34</v>
      </c>
      <c r="S189">
        <v>1</v>
      </c>
      <c r="T189" t="s">
        <v>38</v>
      </c>
      <c r="U189" t="s">
        <v>29</v>
      </c>
    </row>
    <row r="190" spans="1:21" x14ac:dyDescent="0.25">
      <c r="A190" t="s">
        <v>418</v>
      </c>
      <c r="B190">
        <v>61</v>
      </c>
      <c r="C190" t="s">
        <v>22</v>
      </c>
      <c r="D190" t="s">
        <v>23</v>
      </c>
      <c r="E190">
        <v>177396</v>
      </c>
      <c r="F190">
        <v>0</v>
      </c>
      <c r="G190" t="s">
        <v>419</v>
      </c>
      <c r="H190">
        <v>142036</v>
      </c>
      <c r="I190">
        <v>48</v>
      </c>
      <c r="J190">
        <v>8.6199999999999992</v>
      </c>
      <c r="K190" t="s">
        <v>44</v>
      </c>
      <c r="L190">
        <v>0</v>
      </c>
      <c r="M190">
        <v>48916.546406430403</v>
      </c>
      <c r="N190">
        <v>1019.09</v>
      </c>
      <c r="O190" t="s">
        <v>37</v>
      </c>
      <c r="P190">
        <v>3</v>
      </c>
      <c r="Q190">
        <v>83</v>
      </c>
      <c r="R190" t="s">
        <v>65</v>
      </c>
      <c r="S190">
        <v>10</v>
      </c>
      <c r="T190" t="s">
        <v>41</v>
      </c>
      <c r="U190" t="s">
        <v>79</v>
      </c>
    </row>
    <row r="191" spans="1:21" x14ac:dyDescent="0.25">
      <c r="A191" t="s">
        <v>420</v>
      </c>
      <c r="B191">
        <v>32</v>
      </c>
      <c r="C191" t="s">
        <v>31</v>
      </c>
      <c r="D191" t="s">
        <v>23</v>
      </c>
      <c r="E191">
        <v>118896</v>
      </c>
      <c r="F191">
        <v>0</v>
      </c>
      <c r="G191" t="s">
        <v>421</v>
      </c>
      <c r="H191">
        <v>1851498</v>
      </c>
      <c r="I191">
        <v>36</v>
      </c>
      <c r="J191">
        <v>7.82</v>
      </c>
      <c r="K191" t="s">
        <v>33</v>
      </c>
      <c r="L191">
        <v>2421510.6272526002</v>
      </c>
      <c r="M191">
        <v>712074.30029618496</v>
      </c>
      <c r="N191">
        <v>19779.84</v>
      </c>
      <c r="O191" t="s">
        <v>37</v>
      </c>
      <c r="P191">
        <v>3</v>
      </c>
      <c r="Q191">
        <v>46</v>
      </c>
      <c r="R191" t="s">
        <v>34</v>
      </c>
      <c r="S191">
        <v>0</v>
      </c>
      <c r="T191" t="s">
        <v>38</v>
      </c>
      <c r="U191" t="s">
        <v>29</v>
      </c>
    </row>
    <row r="192" spans="1:21" x14ac:dyDescent="0.25">
      <c r="A192" t="s">
        <v>422</v>
      </c>
      <c r="B192">
        <v>59</v>
      </c>
      <c r="C192" t="s">
        <v>22</v>
      </c>
      <c r="D192" t="s">
        <v>49</v>
      </c>
      <c r="E192">
        <v>229432</v>
      </c>
      <c r="F192">
        <v>2</v>
      </c>
      <c r="G192" t="s">
        <v>423</v>
      </c>
      <c r="H192">
        <v>197595</v>
      </c>
      <c r="I192">
        <v>60</v>
      </c>
      <c r="J192">
        <v>8.74</v>
      </c>
      <c r="K192" t="s">
        <v>44</v>
      </c>
      <c r="L192">
        <v>0</v>
      </c>
      <c r="M192">
        <v>170025.314242514</v>
      </c>
      <c r="N192">
        <v>2833.76</v>
      </c>
      <c r="O192" t="s">
        <v>37</v>
      </c>
      <c r="P192">
        <v>0</v>
      </c>
      <c r="Q192">
        <v>0</v>
      </c>
      <c r="R192" t="s">
        <v>27</v>
      </c>
      <c r="S192">
        <v>10</v>
      </c>
      <c r="T192" t="s">
        <v>45</v>
      </c>
      <c r="U192" t="s">
        <v>29</v>
      </c>
    </row>
    <row r="193" spans="1:21" x14ac:dyDescent="0.25">
      <c r="A193" t="s">
        <v>424</v>
      </c>
      <c r="B193">
        <v>22</v>
      </c>
      <c r="C193" t="s">
        <v>22</v>
      </c>
      <c r="D193" t="s">
        <v>49</v>
      </c>
      <c r="E193">
        <v>154999</v>
      </c>
      <c r="F193">
        <v>3</v>
      </c>
      <c r="G193" t="s">
        <v>425</v>
      </c>
      <c r="H193">
        <v>903392</v>
      </c>
      <c r="I193">
        <v>60</v>
      </c>
      <c r="J193">
        <v>12.23</v>
      </c>
      <c r="K193" t="s">
        <v>25</v>
      </c>
      <c r="L193">
        <v>1117866.2444118599</v>
      </c>
      <c r="M193">
        <v>477614.42216441</v>
      </c>
      <c r="N193">
        <v>7960.24</v>
      </c>
      <c r="O193" t="s">
        <v>37</v>
      </c>
      <c r="P193">
        <v>0</v>
      </c>
      <c r="Q193">
        <v>0</v>
      </c>
      <c r="R193" t="s">
        <v>34</v>
      </c>
      <c r="S193">
        <v>0</v>
      </c>
      <c r="T193" t="s">
        <v>45</v>
      </c>
      <c r="U193" t="s">
        <v>29</v>
      </c>
    </row>
    <row r="194" spans="1:21" x14ac:dyDescent="0.25">
      <c r="A194" t="s">
        <v>426</v>
      </c>
      <c r="B194">
        <v>23</v>
      </c>
      <c r="C194" t="s">
        <v>31</v>
      </c>
      <c r="D194" t="s">
        <v>23</v>
      </c>
      <c r="E194">
        <v>108680</v>
      </c>
      <c r="F194">
        <v>1</v>
      </c>
      <c r="G194" t="s">
        <v>427</v>
      </c>
      <c r="H194">
        <v>1871573</v>
      </c>
      <c r="I194">
        <v>12</v>
      </c>
      <c r="J194">
        <v>5.38</v>
      </c>
      <c r="K194" t="s">
        <v>44</v>
      </c>
      <c r="L194">
        <v>0</v>
      </c>
      <c r="M194">
        <v>1315302.2127769</v>
      </c>
      <c r="N194">
        <v>109608.52</v>
      </c>
      <c r="O194" t="s">
        <v>37</v>
      </c>
      <c r="P194">
        <v>0</v>
      </c>
      <c r="Q194">
        <v>0</v>
      </c>
      <c r="R194" t="s">
        <v>27</v>
      </c>
      <c r="S194">
        <v>4</v>
      </c>
      <c r="T194" t="s">
        <v>41</v>
      </c>
      <c r="U194" t="s">
        <v>29</v>
      </c>
    </row>
    <row r="195" spans="1:21" x14ac:dyDescent="0.25">
      <c r="A195" t="s">
        <v>428</v>
      </c>
      <c r="B195">
        <v>57</v>
      </c>
      <c r="C195" t="s">
        <v>22</v>
      </c>
      <c r="D195" t="s">
        <v>23</v>
      </c>
      <c r="E195">
        <v>111546</v>
      </c>
      <c r="F195">
        <v>3</v>
      </c>
      <c r="G195" t="s">
        <v>429</v>
      </c>
      <c r="H195">
        <v>331696</v>
      </c>
      <c r="I195">
        <v>60</v>
      </c>
      <c r="J195">
        <v>16.79</v>
      </c>
      <c r="K195" t="s">
        <v>33</v>
      </c>
      <c r="L195">
        <v>343982.45593465399</v>
      </c>
      <c r="M195">
        <v>153288.57828919601</v>
      </c>
      <c r="N195">
        <v>2554.81</v>
      </c>
      <c r="O195" t="s">
        <v>26</v>
      </c>
      <c r="P195">
        <v>3</v>
      </c>
      <c r="Q195">
        <v>124</v>
      </c>
      <c r="R195" t="s">
        <v>34</v>
      </c>
      <c r="S195">
        <v>3</v>
      </c>
      <c r="T195" t="s">
        <v>45</v>
      </c>
      <c r="U195" t="s">
        <v>29</v>
      </c>
    </row>
    <row r="196" spans="1:21" x14ac:dyDescent="0.25">
      <c r="A196" t="s">
        <v>430</v>
      </c>
      <c r="B196">
        <v>37</v>
      </c>
      <c r="C196" t="s">
        <v>22</v>
      </c>
      <c r="D196" t="s">
        <v>58</v>
      </c>
      <c r="E196">
        <v>168515</v>
      </c>
      <c r="F196">
        <v>1</v>
      </c>
      <c r="G196" t="s">
        <v>431</v>
      </c>
      <c r="H196">
        <v>1615188</v>
      </c>
      <c r="I196">
        <v>60</v>
      </c>
      <c r="J196">
        <v>7.03</v>
      </c>
      <c r="K196" t="s">
        <v>64</v>
      </c>
      <c r="L196">
        <v>2164348.30295501</v>
      </c>
      <c r="M196">
        <v>594722.18969136104</v>
      </c>
      <c r="N196">
        <v>9912.0400000000009</v>
      </c>
      <c r="O196" t="s">
        <v>37</v>
      </c>
      <c r="P196">
        <v>2</v>
      </c>
      <c r="Q196">
        <v>54</v>
      </c>
      <c r="R196" t="s">
        <v>27</v>
      </c>
      <c r="S196">
        <v>0</v>
      </c>
      <c r="T196" t="s">
        <v>38</v>
      </c>
      <c r="U196" t="s">
        <v>29</v>
      </c>
    </row>
    <row r="197" spans="1:21" x14ac:dyDescent="0.25">
      <c r="A197" t="s">
        <v>432</v>
      </c>
      <c r="B197">
        <v>22</v>
      </c>
      <c r="C197" t="s">
        <v>31</v>
      </c>
      <c r="D197" t="s">
        <v>23</v>
      </c>
      <c r="E197">
        <v>94973</v>
      </c>
      <c r="F197">
        <v>3</v>
      </c>
      <c r="G197" t="s">
        <v>433</v>
      </c>
      <c r="H197">
        <v>1240456</v>
      </c>
      <c r="I197">
        <v>48</v>
      </c>
      <c r="J197">
        <v>7.86</v>
      </c>
      <c r="K197" t="s">
        <v>33</v>
      </c>
      <c r="L197">
        <v>1041143.0474261401</v>
      </c>
      <c r="M197">
        <v>822335.81162992003</v>
      </c>
      <c r="N197">
        <v>17132</v>
      </c>
      <c r="O197" t="s">
        <v>26</v>
      </c>
      <c r="P197">
        <v>0</v>
      </c>
      <c r="Q197">
        <v>0</v>
      </c>
      <c r="R197" t="s">
        <v>34</v>
      </c>
      <c r="S197">
        <v>2</v>
      </c>
      <c r="T197" t="s">
        <v>41</v>
      </c>
      <c r="U197" t="s">
        <v>29</v>
      </c>
    </row>
    <row r="198" spans="1:21" x14ac:dyDescent="0.25">
      <c r="A198" t="s">
        <v>434</v>
      </c>
      <c r="B198">
        <v>22</v>
      </c>
      <c r="C198" t="s">
        <v>31</v>
      </c>
      <c r="D198" t="s">
        <v>23</v>
      </c>
      <c r="E198">
        <v>78449</v>
      </c>
      <c r="F198">
        <v>0</v>
      </c>
      <c r="G198" t="s">
        <v>435</v>
      </c>
      <c r="H198">
        <v>285419</v>
      </c>
      <c r="I198">
        <v>72</v>
      </c>
      <c r="J198">
        <v>11.74</v>
      </c>
      <c r="K198" t="s">
        <v>44</v>
      </c>
      <c r="L198">
        <v>0</v>
      </c>
      <c r="M198">
        <v>68321.264542402801</v>
      </c>
      <c r="N198">
        <v>948.91</v>
      </c>
      <c r="O198" t="s">
        <v>37</v>
      </c>
      <c r="P198">
        <v>1</v>
      </c>
      <c r="Q198">
        <v>90</v>
      </c>
      <c r="R198" t="s">
        <v>27</v>
      </c>
      <c r="S198">
        <v>2</v>
      </c>
      <c r="T198" t="s">
        <v>28</v>
      </c>
      <c r="U198" t="s">
        <v>29</v>
      </c>
    </row>
    <row r="199" spans="1:21" x14ac:dyDescent="0.25">
      <c r="A199" t="s">
        <v>436</v>
      </c>
      <c r="B199">
        <v>48</v>
      </c>
      <c r="C199" t="s">
        <v>22</v>
      </c>
      <c r="D199" t="s">
        <v>23</v>
      </c>
      <c r="E199">
        <v>124834</v>
      </c>
      <c r="F199">
        <v>2</v>
      </c>
      <c r="G199" t="s">
        <v>437</v>
      </c>
      <c r="H199">
        <v>1040029</v>
      </c>
      <c r="I199">
        <v>60</v>
      </c>
      <c r="J199">
        <v>14.23</v>
      </c>
      <c r="K199" t="s">
        <v>44</v>
      </c>
      <c r="L199">
        <v>0</v>
      </c>
      <c r="M199">
        <v>453140.48138629203</v>
      </c>
      <c r="N199">
        <v>7552.34</v>
      </c>
      <c r="O199" t="s">
        <v>37</v>
      </c>
      <c r="P199">
        <v>1</v>
      </c>
      <c r="Q199">
        <v>66</v>
      </c>
      <c r="R199" t="s">
        <v>65</v>
      </c>
      <c r="S199">
        <v>1</v>
      </c>
      <c r="T199" t="s">
        <v>41</v>
      </c>
      <c r="U199" t="s">
        <v>29</v>
      </c>
    </row>
    <row r="200" spans="1:21" x14ac:dyDescent="0.25">
      <c r="A200" t="s">
        <v>438</v>
      </c>
      <c r="B200">
        <v>43</v>
      </c>
      <c r="C200" t="s">
        <v>31</v>
      </c>
      <c r="D200" t="s">
        <v>23</v>
      </c>
      <c r="E200">
        <v>222815</v>
      </c>
      <c r="F200">
        <v>2</v>
      </c>
      <c r="G200" t="s">
        <v>439</v>
      </c>
      <c r="H200">
        <v>204692</v>
      </c>
      <c r="I200">
        <v>60</v>
      </c>
      <c r="J200">
        <v>6.24</v>
      </c>
      <c r="K200" t="s">
        <v>25</v>
      </c>
      <c r="L200">
        <v>247451.977191796</v>
      </c>
      <c r="M200">
        <v>58978.588330939303</v>
      </c>
      <c r="N200">
        <v>982.98</v>
      </c>
      <c r="O200" t="s">
        <v>26</v>
      </c>
      <c r="P200">
        <v>1</v>
      </c>
      <c r="Q200">
        <v>87</v>
      </c>
      <c r="R200" t="s">
        <v>27</v>
      </c>
      <c r="S200">
        <v>4</v>
      </c>
      <c r="T200" t="s">
        <v>38</v>
      </c>
      <c r="U200" t="s">
        <v>29</v>
      </c>
    </row>
    <row r="201" spans="1:21" x14ac:dyDescent="0.25">
      <c r="A201" t="s">
        <v>440</v>
      </c>
      <c r="B201">
        <v>57</v>
      </c>
      <c r="C201" t="s">
        <v>31</v>
      </c>
      <c r="D201" t="s">
        <v>58</v>
      </c>
      <c r="E201">
        <v>206305</v>
      </c>
      <c r="F201">
        <v>0</v>
      </c>
      <c r="G201" t="s">
        <v>441</v>
      </c>
      <c r="H201">
        <v>313031</v>
      </c>
      <c r="I201">
        <v>60</v>
      </c>
      <c r="J201">
        <v>9.1300000000000008</v>
      </c>
      <c r="K201" t="s">
        <v>44</v>
      </c>
      <c r="L201">
        <v>0</v>
      </c>
      <c r="M201">
        <v>227327.95486678599</v>
      </c>
      <c r="N201">
        <v>3788.8</v>
      </c>
      <c r="O201" t="s">
        <v>26</v>
      </c>
      <c r="P201">
        <v>3</v>
      </c>
      <c r="Q201">
        <v>71</v>
      </c>
      <c r="R201" t="s">
        <v>34</v>
      </c>
      <c r="S201">
        <v>2</v>
      </c>
      <c r="T201" t="s">
        <v>41</v>
      </c>
      <c r="U201" t="s">
        <v>29</v>
      </c>
    </row>
    <row r="202" spans="1:21" x14ac:dyDescent="0.25">
      <c r="A202" t="s">
        <v>442</v>
      </c>
      <c r="B202">
        <v>52</v>
      </c>
      <c r="C202" t="s">
        <v>22</v>
      </c>
      <c r="D202" t="s">
        <v>49</v>
      </c>
      <c r="E202">
        <v>40537</v>
      </c>
      <c r="F202">
        <v>1</v>
      </c>
      <c r="G202" t="s">
        <v>443</v>
      </c>
      <c r="H202">
        <v>343946</v>
      </c>
      <c r="I202">
        <v>24</v>
      </c>
      <c r="J202">
        <v>17.59</v>
      </c>
      <c r="K202" t="s">
        <v>44</v>
      </c>
      <c r="L202">
        <v>0</v>
      </c>
      <c r="M202">
        <v>326675.76780241099</v>
      </c>
      <c r="N202">
        <v>13611.49</v>
      </c>
      <c r="O202" t="s">
        <v>26</v>
      </c>
      <c r="P202">
        <v>1</v>
      </c>
      <c r="Q202">
        <v>152</v>
      </c>
      <c r="R202" t="s">
        <v>65</v>
      </c>
      <c r="S202">
        <v>6</v>
      </c>
      <c r="T202" t="s">
        <v>41</v>
      </c>
      <c r="U202" t="s">
        <v>79</v>
      </c>
    </row>
    <row r="203" spans="1:21" x14ac:dyDescent="0.25">
      <c r="A203" t="s">
        <v>444</v>
      </c>
      <c r="B203">
        <v>53</v>
      </c>
      <c r="C203" t="s">
        <v>22</v>
      </c>
      <c r="D203" t="s">
        <v>23</v>
      </c>
      <c r="E203">
        <v>247365</v>
      </c>
      <c r="F203">
        <v>1</v>
      </c>
      <c r="G203" t="s">
        <v>445</v>
      </c>
      <c r="H203">
        <v>1707888</v>
      </c>
      <c r="I203">
        <v>24</v>
      </c>
      <c r="J203">
        <v>8.41</v>
      </c>
      <c r="K203" t="s">
        <v>25</v>
      </c>
      <c r="L203">
        <v>2551215.7261406798</v>
      </c>
      <c r="M203">
        <v>1700987.9125284101</v>
      </c>
      <c r="N203">
        <v>70874.5</v>
      </c>
      <c r="O203" t="s">
        <v>26</v>
      </c>
      <c r="P203">
        <v>3</v>
      </c>
      <c r="Q203">
        <v>179</v>
      </c>
      <c r="R203" t="s">
        <v>34</v>
      </c>
      <c r="S203">
        <v>1</v>
      </c>
      <c r="T203" t="s">
        <v>38</v>
      </c>
      <c r="U203" t="s">
        <v>29</v>
      </c>
    </row>
    <row r="204" spans="1:21" x14ac:dyDescent="0.25">
      <c r="A204" t="s">
        <v>446</v>
      </c>
      <c r="B204">
        <v>21</v>
      </c>
      <c r="C204" t="s">
        <v>31</v>
      </c>
      <c r="D204" t="s">
        <v>23</v>
      </c>
      <c r="E204">
        <v>92576</v>
      </c>
      <c r="F204">
        <v>1</v>
      </c>
      <c r="G204" t="s">
        <v>447</v>
      </c>
      <c r="H204">
        <v>538765</v>
      </c>
      <c r="I204">
        <v>48</v>
      </c>
      <c r="J204">
        <v>9.07</v>
      </c>
      <c r="K204" t="s">
        <v>25</v>
      </c>
      <c r="L204">
        <v>438893.544122472</v>
      </c>
      <c r="M204">
        <v>272210.54719980701</v>
      </c>
      <c r="N204">
        <v>5671.05</v>
      </c>
      <c r="O204" t="s">
        <v>37</v>
      </c>
      <c r="P204">
        <v>1</v>
      </c>
      <c r="Q204">
        <v>70</v>
      </c>
      <c r="R204" t="s">
        <v>27</v>
      </c>
      <c r="S204">
        <v>3</v>
      </c>
      <c r="T204" t="s">
        <v>41</v>
      </c>
      <c r="U204" t="s">
        <v>29</v>
      </c>
    </row>
    <row r="205" spans="1:21" x14ac:dyDescent="0.25">
      <c r="A205" t="s">
        <v>448</v>
      </c>
      <c r="B205">
        <v>39</v>
      </c>
      <c r="C205" t="s">
        <v>22</v>
      </c>
      <c r="D205" t="s">
        <v>58</v>
      </c>
      <c r="E205">
        <v>122522</v>
      </c>
      <c r="F205">
        <v>0</v>
      </c>
      <c r="G205" t="s">
        <v>449</v>
      </c>
      <c r="H205">
        <v>1868673</v>
      </c>
      <c r="I205">
        <v>36</v>
      </c>
      <c r="J205">
        <v>15.87</v>
      </c>
      <c r="K205" t="s">
        <v>64</v>
      </c>
      <c r="L205">
        <v>2193854.8689642302</v>
      </c>
      <c r="M205">
        <v>611574.34871379298</v>
      </c>
      <c r="N205">
        <v>16988.18</v>
      </c>
      <c r="O205" t="s">
        <v>26</v>
      </c>
      <c r="P205">
        <v>2</v>
      </c>
      <c r="Q205">
        <v>142</v>
      </c>
      <c r="R205" t="s">
        <v>27</v>
      </c>
      <c r="S205">
        <v>2</v>
      </c>
      <c r="T205" t="s">
        <v>41</v>
      </c>
      <c r="U205" t="s">
        <v>29</v>
      </c>
    </row>
    <row r="206" spans="1:21" x14ac:dyDescent="0.25">
      <c r="A206" t="s">
        <v>450</v>
      </c>
      <c r="B206">
        <v>22</v>
      </c>
      <c r="C206" t="s">
        <v>22</v>
      </c>
      <c r="D206" t="s">
        <v>49</v>
      </c>
      <c r="E206">
        <v>37612</v>
      </c>
      <c r="F206">
        <v>1</v>
      </c>
      <c r="G206" t="s">
        <v>451</v>
      </c>
      <c r="H206">
        <v>692927</v>
      </c>
      <c r="I206">
        <v>36</v>
      </c>
      <c r="J206">
        <v>5.65</v>
      </c>
      <c r="K206" t="s">
        <v>44</v>
      </c>
      <c r="L206">
        <v>0</v>
      </c>
      <c r="M206">
        <v>345456.28441906901</v>
      </c>
      <c r="N206">
        <v>9596.01</v>
      </c>
      <c r="O206" t="s">
        <v>37</v>
      </c>
      <c r="P206">
        <v>3</v>
      </c>
      <c r="Q206">
        <v>2</v>
      </c>
      <c r="R206" t="s">
        <v>34</v>
      </c>
      <c r="S206">
        <v>2</v>
      </c>
      <c r="T206" t="s">
        <v>38</v>
      </c>
      <c r="U206" t="s">
        <v>29</v>
      </c>
    </row>
    <row r="207" spans="1:21" x14ac:dyDescent="0.25">
      <c r="A207" t="s">
        <v>452</v>
      </c>
      <c r="B207">
        <v>64</v>
      </c>
      <c r="C207" t="s">
        <v>22</v>
      </c>
      <c r="D207" t="s">
        <v>49</v>
      </c>
      <c r="E207">
        <v>240049</v>
      </c>
      <c r="F207">
        <v>0</v>
      </c>
      <c r="G207" t="s">
        <v>453</v>
      </c>
      <c r="H207">
        <v>1704802</v>
      </c>
      <c r="I207">
        <v>72</v>
      </c>
      <c r="J207">
        <v>11.04</v>
      </c>
      <c r="K207" t="s">
        <v>44</v>
      </c>
      <c r="L207">
        <v>0</v>
      </c>
      <c r="M207">
        <v>1470464.1261789401</v>
      </c>
      <c r="N207">
        <v>20423.11</v>
      </c>
      <c r="O207" t="s">
        <v>26</v>
      </c>
      <c r="P207">
        <v>1</v>
      </c>
      <c r="Q207">
        <v>132</v>
      </c>
      <c r="R207" t="s">
        <v>34</v>
      </c>
      <c r="S207">
        <v>2</v>
      </c>
      <c r="T207" t="s">
        <v>45</v>
      </c>
      <c r="U207" t="s">
        <v>29</v>
      </c>
    </row>
    <row r="208" spans="1:21" x14ac:dyDescent="0.25">
      <c r="A208" t="s">
        <v>454</v>
      </c>
      <c r="B208">
        <v>46</v>
      </c>
      <c r="C208" t="s">
        <v>22</v>
      </c>
      <c r="D208" t="s">
        <v>58</v>
      </c>
      <c r="E208">
        <v>21471</v>
      </c>
      <c r="F208">
        <v>3</v>
      </c>
      <c r="G208" t="s">
        <v>455</v>
      </c>
      <c r="H208">
        <v>1316389</v>
      </c>
      <c r="I208">
        <v>60</v>
      </c>
      <c r="J208">
        <v>9.94</v>
      </c>
      <c r="K208" t="s">
        <v>44</v>
      </c>
      <c r="L208">
        <v>0</v>
      </c>
      <c r="M208">
        <v>375704.148265097</v>
      </c>
      <c r="N208">
        <v>6261.74</v>
      </c>
      <c r="O208" t="s">
        <v>37</v>
      </c>
      <c r="P208">
        <v>0</v>
      </c>
      <c r="Q208">
        <v>0</v>
      </c>
      <c r="R208" t="s">
        <v>34</v>
      </c>
      <c r="S208">
        <v>1</v>
      </c>
      <c r="T208" t="s">
        <v>38</v>
      </c>
      <c r="U208" t="s">
        <v>29</v>
      </c>
    </row>
    <row r="209" spans="1:21" x14ac:dyDescent="0.25">
      <c r="A209" t="s">
        <v>456</v>
      </c>
      <c r="B209">
        <v>52</v>
      </c>
      <c r="C209" t="s">
        <v>22</v>
      </c>
      <c r="D209" t="s">
        <v>58</v>
      </c>
      <c r="E209">
        <v>181703</v>
      </c>
      <c r="F209">
        <v>3</v>
      </c>
      <c r="G209" t="s">
        <v>457</v>
      </c>
      <c r="H209">
        <v>1874964</v>
      </c>
      <c r="I209">
        <v>48</v>
      </c>
      <c r="J209">
        <v>9.1199999999999992</v>
      </c>
      <c r="K209" t="s">
        <v>64</v>
      </c>
      <c r="L209">
        <v>2520541.9749506102</v>
      </c>
      <c r="M209">
        <v>1794126.9642652001</v>
      </c>
      <c r="N209">
        <v>37377.65</v>
      </c>
      <c r="O209" t="s">
        <v>37</v>
      </c>
      <c r="P209">
        <v>3</v>
      </c>
      <c r="Q209">
        <v>48</v>
      </c>
      <c r="R209" t="s">
        <v>34</v>
      </c>
      <c r="S209">
        <v>2</v>
      </c>
      <c r="T209" t="s">
        <v>41</v>
      </c>
      <c r="U209" t="s">
        <v>29</v>
      </c>
    </row>
    <row r="210" spans="1:21" x14ac:dyDescent="0.25">
      <c r="A210" t="s">
        <v>458</v>
      </c>
      <c r="B210">
        <v>26</v>
      </c>
      <c r="C210" t="s">
        <v>22</v>
      </c>
      <c r="D210" t="s">
        <v>49</v>
      </c>
      <c r="E210">
        <v>238131</v>
      </c>
      <c r="F210">
        <v>0</v>
      </c>
      <c r="G210" t="s">
        <v>459</v>
      </c>
      <c r="H210">
        <v>1483466</v>
      </c>
      <c r="I210">
        <v>72</v>
      </c>
      <c r="J210">
        <v>8.7100000000000009</v>
      </c>
      <c r="K210" t="s">
        <v>33</v>
      </c>
      <c r="L210">
        <v>2100302.41244289</v>
      </c>
      <c r="M210">
        <v>604778.22011832602</v>
      </c>
      <c r="N210">
        <v>8399.7000000000007</v>
      </c>
      <c r="O210" t="s">
        <v>37</v>
      </c>
      <c r="P210">
        <v>0</v>
      </c>
      <c r="Q210">
        <v>0</v>
      </c>
      <c r="R210" t="s">
        <v>27</v>
      </c>
      <c r="S210">
        <v>7</v>
      </c>
      <c r="T210" t="s">
        <v>28</v>
      </c>
      <c r="U210" t="s">
        <v>29</v>
      </c>
    </row>
    <row r="211" spans="1:21" x14ac:dyDescent="0.25">
      <c r="A211" t="s">
        <v>460</v>
      </c>
      <c r="B211">
        <v>52</v>
      </c>
      <c r="C211" t="s">
        <v>22</v>
      </c>
      <c r="D211" t="s">
        <v>23</v>
      </c>
      <c r="E211">
        <v>46348</v>
      </c>
      <c r="F211">
        <v>2</v>
      </c>
      <c r="G211" t="s">
        <v>461</v>
      </c>
      <c r="H211">
        <v>1911057</v>
      </c>
      <c r="I211">
        <v>60</v>
      </c>
      <c r="J211">
        <v>6.19</v>
      </c>
      <c r="K211" t="s">
        <v>33</v>
      </c>
      <c r="L211">
        <v>2327538.7945499201</v>
      </c>
      <c r="M211">
        <v>1886639.98561631</v>
      </c>
      <c r="N211">
        <v>31444</v>
      </c>
      <c r="O211" t="s">
        <v>26</v>
      </c>
      <c r="P211">
        <v>0</v>
      </c>
      <c r="Q211">
        <v>0</v>
      </c>
      <c r="R211" t="s">
        <v>34</v>
      </c>
      <c r="S211">
        <v>2</v>
      </c>
      <c r="T211" t="s">
        <v>28</v>
      </c>
      <c r="U211" t="s">
        <v>29</v>
      </c>
    </row>
    <row r="212" spans="1:21" x14ac:dyDescent="0.25">
      <c r="A212" t="s">
        <v>462</v>
      </c>
      <c r="B212">
        <v>24</v>
      </c>
      <c r="C212" t="s">
        <v>22</v>
      </c>
      <c r="D212" t="s">
        <v>23</v>
      </c>
      <c r="E212">
        <v>210804</v>
      </c>
      <c r="F212">
        <v>3</v>
      </c>
      <c r="G212" t="s">
        <v>463</v>
      </c>
      <c r="H212">
        <v>1438509</v>
      </c>
      <c r="I212">
        <v>36</v>
      </c>
      <c r="J212">
        <v>9.09</v>
      </c>
      <c r="K212" t="s">
        <v>64</v>
      </c>
      <c r="L212">
        <v>1127227.0503068599</v>
      </c>
      <c r="M212">
        <v>1229562.6889778301</v>
      </c>
      <c r="N212">
        <v>34154.519999999997</v>
      </c>
      <c r="O212" t="s">
        <v>68</v>
      </c>
      <c r="P212">
        <v>10</v>
      </c>
      <c r="Q212">
        <v>21</v>
      </c>
      <c r="R212" t="s">
        <v>34</v>
      </c>
      <c r="S212">
        <v>2</v>
      </c>
      <c r="T212" t="s">
        <v>38</v>
      </c>
      <c r="U212" t="s">
        <v>29</v>
      </c>
    </row>
    <row r="213" spans="1:21" x14ac:dyDescent="0.25">
      <c r="A213" t="s">
        <v>464</v>
      </c>
      <c r="B213">
        <v>31</v>
      </c>
      <c r="C213" t="s">
        <v>31</v>
      </c>
      <c r="D213" t="s">
        <v>49</v>
      </c>
      <c r="E213">
        <v>16177</v>
      </c>
      <c r="F213">
        <v>1</v>
      </c>
      <c r="G213" t="s">
        <v>465</v>
      </c>
      <c r="H213">
        <v>1707390</v>
      </c>
      <c r="I213">
        <v>24</v>
      </c>
      <c r="J213">
        <v>5.56</v>
      </c>
      <c r="K213" t="s">
        <v>25</v>
      </c>
      <c r="L213">
        <v>1410785.8827672999</v>
      </c>
      <c r="M213">
        <v>1413229.71986812</v>
      </c>
      <c r="N213">
        <v>58884.57</v>
      </c>
      <c r="O213" t="s">
        <v>26</v>
      </c>
      <c r="P213">
        <v>0</v>
      </c>
      <c r="Q213">
        <v>0</v>
      </c>
      <c r="R213" t="s">
        <v>34</v>
      </c>
      <c r="S213">
        <v>0</v>
      </c>
      <c r="T213" t="s">
        <v>28</v>
      </c>
      <c r="U213" t="s">
        <v>29</v>
      </c>
    </row>
    <row r="214" spans="1:21" x14ac:dyDescent="0.25">
      <c r="A214" t="s">
        <v>466</v>
      </c>
      <c r="B214">
        <v>37</v>
      </c>
      <c r="C214" t="s">
        <v>22</v>
      </c>
      <c r="D214" t="s">
        <v>23</v>
      </c>
      <c r="E214">
        <v>150832</v>
      </c>
      <c r="F214">
        <v>0</v>
      </c>
      <c r="G214" t="s">
        <v>467</v>
      </c>
      <c r="H214">
        <v>451062</v>
      </c>
      <c r="I214">
        <v>48</v>
      </c>
      <c r="J214">
        <v>15.15</v>
      </c>
      <c r="K214" t="s">
        <v>25</v>
      </c>
      <c r="L214">
        <v>234894.15948589999</v>
      </c>
      <c r="M214">
        <v>174161.44616537201</v>
      </c>
      <c r="N214">
        <v>3628.36</v>
      </c>
      <c r="O214" t="s">
        <v>26</v>
      </c>
      <c r="P214">
        <v>0</v>
      </c>
      <c r="Q214">
        <v>0</v>
      </c>
      <c r="R214" t="s">
        <v>34</v>
      </c>
      <c r="S214">
        <v>3</v>
      </c>
      <c r="T214" t="s">
        <v>41</v>
      </c>
      <c r="U214" t="s">
        <v>29</v>
      </c>
    </row>
    <row r="215" spans="1:21" x14ac:dyDescent="0.25">
      <c r="A215" t="s">
        <v>468</v>
      </c>
      <c r="B215">
        <v>58</v>
      </c>
      <c r="C215" t="s">
        <v>31</v>
      </c>
      <c r="D215" t="s">
        <v>49</v>
      </c>
      <c r="E215">
        <v>47779</v>
      </c>
      <c r="F215">
        <v>1</v>
      </c>
      <c r="G215" t="s">
        <v>469</v>
      </c>
      <c r="H215">
        <v>533779</v>
      </c>
      <c r="I215">
        <v>60</v>
      </c>
      <c r="J215">
        <v>10.18</v>
      </c>
      <c r="K215" t="s">
        <v>44</v>
      </c>
      <c r="L215">
        <v>0</v>
      </c>
      <c r="M215">
        <v>57594.482274718503</v>
      </c>
      <c r="N215">
        <v>959.91</v>
      </c>
      <c r="O215" t="s">
        <v>26</v>
      </c>
      <c r="P215">
        <v>1</v>
      </c>
      <c r="Q215">
        <v>61</v>
      </c>
      <c r="R215" t="s">
        <v>34</v>
      </c>
      <c r="S215">
        <v>0</v>
      </c>
      <c r="T215" t="s">
        <v>41</v>
      </c>
      <c r="U215" t="s">
        <v>29</v>
      </c>
    </row>
    <row r="216" spans="1:21" x14ac:dyDescent="0.25">
      <c r="A216" t="s">
        <v>470</v>
      </c>
      <c r="B216">
        <v>44</v>
      </c>
      <c r="C216" t="s">
        <v>22</v>
      </c>
      <c r="D216" t="s">
        <v>23</v>
      </c>
      <c r="E216">
        <v>36636</v>
      </c>
      <c r="F216">
        <v>1</v>
      </c>
      <c r="G216" t="s">
        <v>471</v>
      </c>
      <c r="H216">
        <v>547952</v>
      </c>
      <c r="I216">
        <v>36</v>
      </c>
      <c r="J216">
        <v>10.77</v>
      </c>
      <c r="K216" t="s">
        <v>25</v>
      </c>
      <c r="L216">
        <v>690904.99323705898</v>
      </c>
      <c r="M216">
        <v>243246.64249131599</v>
      </c>
      <c r="N216">
        <v>6756.85</v>
      </c>
      <c r="O216" t="s">
        <v>26</v>
      </c>
      <c r="P216">
        <v>1</v>
      </c>
      <c r="Q216">
        <v>104</v>
      </c>
      <c r="R216" t="s">
        <v>27</v>
      </c>
      <c r="S216">
        <v>2</v>
      </c>
      <c r="T216" t="s">
        <v>38</v>
      </c>
      <c r="U216" t="s">
        <v>29</v>
      </c>
    </row>
    <row r="217" spans="1:21" x14ac:dyDescent="0.25">
      <c r="A217" t="s">
        <v>472</v>
      </c>
      <c r="B217">
        <v>25</v>
      </c>
      <c r="C217" t="s">
        <v>31</v>
      </c>
      <c r="D217" t="s">
        <v>23</v>
      </c>
      <c r="E217">
        <v>96889</v>
      </c>
      <c r="F217">
        <v>2</v>
      </c>
      <c r="G217" t="s">
        <v>473</v>
      </c>
      <c r="H217">
        <v>620508</v>
      </c>
      <c r="I217">
        <v>60</v>
      </c>
      <c r="J217">
        <v>16.62</v>
      </c>
      <c r="K217" t="s">
        <v>25</v>
      </c>
      <c r="L217">
        <v>336774.26747828902</v>
      </c>
      <c r="M217">
        <v>230598.41551559299</v>
      </c>
      <c r="N217">
        <v>3843.31</v>
      </c>
      <c r="O217" t="s">
        <v>68</v>
      </c>
      <c r="P217">
        <v>6</v>
      </c>
      <c r="Q217">
        <v>125</v>
      </c>
      <c r="R217" t="s">
        <v>34</v>
      </c>
      <c r="S217">
        <v>1</v>
      </c>
      <c r="T217" t="s">
        <v>41</v>
      </c>
      <c r="U217" t="s">
        <v>29</v>
      </c>
    </row>
    <row r="218" spans="1:21" x14ac:dyDescent="0.25">
      <c r="A218" t="s">
        <v>474</v>
      </c>
      <c r="B218">
        <v>54</v>
      </c>
      <c r="C218" t="s">
        <v>22</v>
      </c>
      <c r="D218" t="s">
        <v>23</v>
      </c>
      <c r="E218">
        <v>68551</v>
      </c>
      <c r="F218">
        <v>1</v>
      </c>
      <c r="G218" t="s">
        <v>475</v>
      </c>
      <c r="H218">
        <v>882595</v>
      </c>
      <c r="I218">
        <v>12</v>
      </c>
      <c r="J218">
        <v>13.55</v>
      </c>
      <c r="K218" t="s">
        <v>25</v>
      </c>
      <c r="L218">
        <v>1204435.34491061</v>
      </c>
      <c r="M218">
        <v>117965.257074867</v>
      </c>
      <c r="N218">
        <v>9830.44</v>
      </c>
      <c r="O218" t="s">
        <v>26</v>
      </c>
      <c r="P218">
        <v>3</v>
      </c>
      <c r="Q218">
        <v>142</v>
      </c>
      <c r="R218" t="s">
        <v>27</v>
      </c>
      <c r="S218">
        <v>10</v>
      </c>
      <c r="T218" t="s">
        <v>45</v>
      </c>
      <c r="U218" t="s">
        <v>29</v>
      </c>
    </row>
    <row r="219" spans="1:21" x14ac:dyDescent="0.25">
      <c r="A219" t="s">
        <v>476</v>
      </c>
      <c r="B219">
        <v>26</v>
      </c>
      <c r="C219" t="s">
        <v>31</v>
      </c>
      <c r="D219" t="s">
        <v>23</v>
      </c>
      <c r="E219">
        <v>157628</v>
      </c>
      <c r="F219">
        <v>2</v>
      </c>
      <c r="G219" t="s">
        <v>477</v>
      </c>
      <c r="H219">
        <v>446981</v>
      </c>
      <c r="I219">
        <v>60</v>
      </c>
      <c r="J219">
        <v>5.0999999999999996</v>
      </c>
      <c r="K219" t="s">
        <v>64</v>
      </c>
      <c r="L219">
        <v>276529.54011844401</v>
      </c>
      <c r="M219">
        <v>247997.90094644899</v>
      </c>
      <c r="N219">
        <v>4133.3</v>
      </c>
      <c r="O219" t="s">
        <v>37</v>
      </c>
      <c r="P219">
        <v>3</v>
      </c>
      <c r="Q219">
        <v>61</v>
      </c>
      <c r="R219" t="s">
        <v>34</v>
      </c>
      <c r="S219">
        <v>3</v>
      </c>
      <c r="T219" t="s">
        <v>41</v>
      </c>
      <c r="U219" t="s">
        <v>29</v>
      </c>
    </row>
    <row r="220" spans="1:21" x14ac:dyDescent="0.25">
      <c r="A220" t="s">
        <v>478</v>
      </c>
      <c r="B220">
        <v>42</v>
      </c>
      <c r="C220" t="s">
        <v>31</v>
      </c>
      <c r="D220" t="s">
        <v>58</v>
      </c>
      <c r="E220">
        <v>173670</v>
      </c>
      <c r="F220">
        <v>3</v>
      </c>
      <c r="G220" t="s">
        <v>479</v>
      </c>
      <c r="H220">
        <v>429270</v>
      </c>
      <c r="I220">
        <v>60</v>
      </c>
      <c r="J220">
        <v>17.260000000000002</v>
      </c>
      <c r="K220" t="s">
        <v>64</v>
      </c>
      <c r="L220">
        <v>288416.43036458798</v>
      </c>
      <c r="M220">
        <v>198635.32589490601</v>
      </c>
      <c r="N220">
        <v>3310.59</v>
      </c>
      <c r="O220" t="s">
        <v>37</v>
      </c>
      <c r="P220">
        <v>1</v>
      </c>
      <c r="Q220">
        <v>176</v>
      </c>
      <c r="R220" t="s">
        <v>34</v>
      </c>
      <c r="S220">
        <v>2</v>
      </c>
      <c r="T220" t="s">
        <v>38</v>
      </c>
      <c r="U220" t="s">
        <v>29</v>
      </c>
    </row>
    <row r="221" spans="1:21" x14ac:dyDescent="0.25">
      <c r="A221" t="s">
        <v>480</v>
      </c>
      <c r="B221">
        <v>31</v>
      </c>
      <c r="C221" t="s">
        <v>22</v>
      </c>
      <c r="D221" t="s">
        <v>49</v>
      </c>
      <c r="E221">
        <v>157635</v>
      </c>
      <c r="F221">
        <v>0</v>
      </c>
      <c r="G221" t="s">
        <v>481</v>
      </c>
      <c r="H221">
        <v>1966494</v>
      </c>
      <c r="I221">
        <v>60</v>
      </c>
      <c r="J221">
        <v>8.08</v>
      </c>
      <c r="K221" t="s">
        <v>33</v>
      </c>
      <c r="L221">
        <v>1920333.44573277</v>
      </c>
      <c r="M221">
        <v>1319715.73782741</v>
      </c>
      <c r="N221">
        <v>21995.26</v>
      </c>
      <c r="O221" t="s">
        <v>26</v>
      </c>
      <c r="P221">
        <v>3</v>
      </c>
      <c r="Q221">
        <v>121</v>
      </c>
      <c r="R221" t="s">
        <v>27</v>
      </c>
      <c r="S221">
        <v>1</v>
      </c>
      <c r="T221" t="s">
        <v>45</v>
      </c>
      <c r="U221" t="s">
        <v>29</v>
      </c>
    </row>
    <row r="222" spans="1:21" x14ac:dyDescent="0.25">
      <c r="A222" t="s">
        <v>482</v>
      </c>
      <c r="B222">
        <v>36</v>
      </c>
      <c r="C222" t="s">
        <v>31</v>
      </c>
      <c r="D222" t="s">
        <v>49</v>
      </c>
      <c r="E222">
        <v>61819</v>
      </c>
      <c r="F222">
        <v>1</v>
      </c>
      <c r="G222" t="s">
        <v>483</v>
      </c>
      <c r="H222">
        <v>1173853</v>
      </c>
      <c r="I222">
        <v>72</v>
      </c>
      <c r="J222">
        <v>6.4</v>
      </c>
      <c r="K222" t="s">
        <v>33</v>
      </c>
      <c r="L222">
        <v>1453089.6389870699</v>
      </c>
      <c r="M222">
        <v>773648.58507984201</v>
      </c>
      <c r="N222">
        <v>10745.12</v>
      </c>
      <c r="O222" t="s">
        <v>37</v>
      </c>
      <c r="P222">
        <v>0</v>
      </c>
      <c r="Q222">
        <v>0</v>
      </c>
      <c r="R222" t="s">
        <v>34</v>
      </c>
      <c r="S222">
        <v>3</v>
      </c>
      <c r="T222" t="s">
        <v>45</v>
      </c>
      <c r="U222" t="s">
        <v>29</v>
      </c>
    </row>
    <row r="223" spans="1:21" x14ac:dyDescent="0.25">
      <c r="A223" t="s">
        <v>484</v>
      </c>
      <c r="B223">
        <v>53</v>
      </c>
      <c r="C223" t="s">
        <v>22</v>
      </c>
      <c r="D223" t="s">
        <v>49</v>
      </c>
      <c r="E223">
        <v>88770</v>
      </c>
      <c r="F223">
        <v>0</v>
      </c>
      <c r="G223" t="s">
        <v>485</v>
      </c>
      <c r="H223">
        <v>1055782</v>
      </c>
      <c r="I223">
        <v>60</v>
      </c>
      <c r="J223">
        <v>14.99</v>
      </c>
      <c r="K223" t="s">
        <v>25</v>
      </c>
      <c r="L223">
        <v>674647.02620949305</v>
      </c>
      <c r="M223">
        <v>220312.11226624201</v>
      </c>
      <c r="N223">
        <v>3671.87</v>
      </c>
      <c r="O223" t="s">
        <v>26</v>
      </c>
      <c r="P223">
        <v>1</v>
      </c>
      <c r="Q223">
        <v>165</v>
      </c>
      <c r="R223" t="s">
        <v>34</v>
      </c>
      <c r="S223">
        <v>0</v>
      </c>
      <c r="T223" t="s">
        <v>28</v>
      </c>
      <c r="U223" t="s">
        <v>29</v>
      </c>
    </row>
    <row r="224" spans="1:21" x14ac:dyDescent="0.25">
      <c r="A224" t="s">
        <v>486</v>
      </c>
      <c r="B224">
        <v>29</v>
      </c>
      <c r="C224" t="s">
        <v>22</v>
      </c>
      <c r="D224" t="s">
        <v>23</v>
      </c>
      <c r="E224">
        <v>237127</v>
      </c>
      <c r="F224">
        <v>1</v>
      </c>
      <c r="G224" t="s">
        <v>487</v>
      </c>
      <c r="H224">
        <v>1618146</v>
      </c>
      <c r="I224">
        <v>72</v>
      </c>
      <c r="J224">
        <v>11.51</v>
      </c>
      <c r="K224" t="s">
        <v>44</v>
      </c>
      <c r="L224">
        <v>0</v>
      </c>
      <c r="M224">
        <v>1584600.20154235</v>
      </c>
      <c r="N224">
        <v>22008.34</v>
      </c>
      <c r="O224" t="s">
        <v>26</v>
      </c>
      <c r="P224">
        <v>3</v>
      </c>
      <c r="Q224">
        <v>125</v>
      </c>
      <c r="R224" t="s">
        <v>34</v>
      </c>
      <c r="S224">
        <v>2</v>
      </c>
      <c r="T224" t="s">
        <v>41</v>
      </c>
      <c r="U224" t="s">
        <v>29</v>
      </c>
    </row>
    <row r="225" spans="1:21" x14ac:dyDescent="0.25">
      <c r="A225" t="s">
        <v>488</v>
      </c>
      <c r="B225">
        <v>26</v>
      </c>
      <c r="C225" t="s">
        <v>22</v>
      </c>
      <c r="D225" t="s">
        <v>23</v>
      </c>
      <c r="E225">
        <v>173038</v>
      </c>
      <c r="F225">
        <v>0</v>
      </c>
      <c r="G225" t="s">
        <v>489</v>
      </c>
      <c r="H225">
        <v>533455</v>
      </c>
      <c r="I225">
        <v>72</v>
      </c>
      <c r="J225">
        <v>10.64</v>
      </c>
      <c r="K225" t="s">
        <v>44</v>
      </c>
      <c r="L225">
        <v>0</v>
      </c>
      <c r="M225">
        <v>143093.05512341799</v>
      </c>
      <c r="N225">
        <v>1987.4</v>
      </c>
      <c r="O225" t="s">
        <v>26</v>
      </c>
      <c r="P225">
        <v>0</v>
      </c>
      <c r="Q225">
        <v>0</v>
      </c>
      <c r="R225" t="s">
        <v>34</v>
      </c>
      <c r="S225">
        <v>0</v>
      </c>
      <c r="T225" t="s">
        <v>38</v>
      </c>
      <c r="U225" t="s">
        <v>29</v>
      </c>
    </row>
    <row r="226" spans="1:21" x14ac:dyDescent="0.25">
      <c r="A226" t="s">
        <v>490</v>
      </c>
      <c r="B226">
        <v>36</v>
      </c>
      <c r="C226" t="s">
        <v>22</v>
      </c>
      <c r="D226" t="s">
        <v>23</v>
      </c>
      <c r="E226">
        <v>227781</v>
      </c>
      <c r="F226">
        <v>1</v>
      </c>
      <c r="G226" t="s">
        <v>491</v>
      </c>
      <c r="H226">
        <v>1989253</v>
      </c>
      <c r="I226">
        <v>60</v>
      </c>
      <c r="J226">
        <v>8.24</v>
      </c>
      <c r="K226" t="s">
        <v>25</v>
      </c>
      <c r="L226">
        <v>1870039.2062892599</v>
      </c>
      <c r="M226">
        <v>996111.72062673699</v>
      </c>
      <c r="N226">
        <v>16601.86</v>
      </c>
      <c r="O226" t="s">
        <v>68</v>
      </c>
      <c r="P226">
        <v>6</v>
      </c>
      <c r="Q226">
        <v>114</v>
      </c>
      <c r="R226" t="s">
        <v>34</v>
      </c>
      <c r="S226">
        <v>3</v>
      </c>
      <c r="T226" t="s">
        <v>28</v>
      </c>
      <c r="U226" t="s">
        <v>29</v>
      </c>
    </row>
    <row r="227" spans="1:21" x14ac:dyDescent="0.25">
      <c r="A227" t="s">
        <v>492</v>
      </c>
      <c r="B227">
        <v>49</v>
      </c>
      <c r="C227" t="s">
        <v>22</v>
      </c>
      <c r="D227" t="s">
        <v>23</v>
      </c>
      <c r="E227">
        <v>205961</v>
      </c>
      <c r="F227">
        <v>1</v>
      </c>
      <c r="G227" t="s">
        <v>493</v>
      </c>
      <c r="H227">
        <v>172332</v>
      </c>
      <c r="I227">
        <v>60</v>
      </c>
      <c r="J227">
        <v>12.12</v>
      </c>
      <c r="K227" t="s">
        <v>33</v>
      </c>
      <c r="L227">
        <v>169376.725821642</v>
      </c>
      <c r="M227">
        <v>92939.645245520194</v>
      </c>
      <c r="N227">
        <v>1548.99</v>
      </c>
      <c r="O227" t="s">
        <v>68</v>
      </c>
      <c r="P227">
        <v>4</v>
      </c>
      <c r="Q227">
        <v>4</v>
      </c>
      <c r="R227" t="s">
        <v>34</v>
      </c>
      <c r="S227">
        <v>2</v>
      </c>
      <c r="T227" t="s">
        <v>28</v>
      </c>
      <c r="U227" t="s">
        <v>29</v>
      </c>
    </row>
    <row r="228" spans="1:21" x14ac:dyDescent="0.25">
      <c r="A228" t="s">
        <v>494</v>
      </c>
      <c r="B228">
        <v>23</v>
      </c>
      <c r="C228" t="s">
        <v>22</v>
      </c>
      <c r="D228" t="s">
        <v>23</v>
      </c>
      <c r="E228">
        <v>173059</v>
      </c>
      <c r="F228">
        <v>1</v>
      </c>
      <c r="G228" t="s">
        <v>495</v>
      </c>
      <c r="H228">
        <v>1332807</v>
      </c>
      <c r="I228">
        <v>12</v>
      </c>
      <c r="J228">
        <v>8.57</v>
      </c>
      <c r="K228" t="s">
        <v>44</v>
      </c>
      <c r="L228">
        <v>0</v>
      </c>
      <c r="M228">
        <v>1108570.9088099001</v>
      </c>
      <c r="N228">
        <v>92380.91</v>
      </c>
      <c r="O228" t="s">
        <v>26</v>
      </c>
      <c r="P228">
        <v>3</v>
      </c>
      <c r="Q228">
        <v>23</v>
      </c>
      <c r="R228" t="s">
        <v>34</v>
      </c>
      <c r="S228">
        <v>2</v>
      </c>
      <c r="T228" t="s">
        <v>41</v>
      </c>
      <c r="U228" t="s">
        <v>29</v>
      </c>
    </row>
    <row r="229" spans="1:21" x14ac:dyDescent="0.25">
      <c r="A229" t="s">
        <v>496</v>
      </c>
      <c r="B229">
        <v>40</v>
      </c>
      <c r="C229" t="s">
        <v>31</v>
      </c>
      <c r="D229" t="s">
        <v>23</v>
      </c>
      <c r="E229">
        <v>93714</v>
      </c>
      <c r="F229">
        <v>1</v>
      </c>
      <c r="G229" t="s">
        <v>497</v>
      </c>
      <c r="H229">
        <v>597219</v>
      </c>
      <c r="I229">
        <v>48</v>
      </c>
      <c r="J229">
        <v>16.72</v>
      </c>
      <c r="K229" t="s">
        <v>64</v>
      </c>
      <c r="L229">
        <v>425390.518631674</v>
      </c>
      <c r="M229">
        <v>113057.520135044</v>
      </c>
      <c r="N229">
        <v>2355.37</v>
      </c>
      <c r="O229" t="s">
        <v>26</v>
      </c>
      <c r="P229">
        <v>2</v>
      </c>
      <c r="Q229">
        <v>75</v>
      </c>
      <c r="R229" t="s">
        <v>34</v>
      </c>
      <c r="S229">
        <v>3</v>
      </c>
      <c r="T229" t="s">
        <v>41</v>
      </c>
      <c r="U229" t="s">
        <v>29</v>
      </c>
    </row>
    <row r="230" spans="1:21" x14ac:dyDescent="0.25">
      <c r="A230" t="s">
        <v>498</v>
      </c>
      <c r="B230">
        <v>56</v>
      </c>
      <c r="C230" t="s">
        <v>22</v>
      </c>
      <c r="D230" t="s">
        <v>23</v>
      </c>
      <c r="E230">
        <v>204420</v>
      </c>
      <c r="F230">
        <v>1</v>
      </c>
      <c r="G230" t="s">
        <v>499</v>
      </c>
      <c r="H230">
        <v>139116</v>
      </c>
      <c r="I230">
        <v>48</v>
      </c>
      <c r="J230">
        <v>7.8</v>
      </c>
      <c r="K230" t="s">
        <v>44</v>
      </c>
      <c r="L230">
        <v>0</v>
      </c>
      <c r="M230">
        <v>67579.7497917367</v>
      </c>
      <c r="N230">
        <v>1407.91</v>
      </c>
      <c r="O230" t="s">
        <v>37</v>
      </c>
      <c r="P230">
        <v>3</v>
      </c>
      <c r="Q230">
        <v>56</v>
      </c>
      <c r="R230" t="s">
        <v>34</v>
      </c>
      <c r="S230">
        <v>2</v>
      </c>
      <c r="T230" t="s">
        <v>38</v>
      </c>
      <c r="U230" t="s">
        <v>29</v>
      </c>
    </row>
    <row r="231" spans="1:21" x14ac:dyDescent="0.25">
      <c r="A231" t="s">
        <v>500</v>
      </c>
      <c r="B231">
        <v>39</v>
      </c>
      <c r="C231" t="s">
        <v>22</v>
      </c>
      <c r="D231" t="s">
        <v>58</v>
      </c>
      <c r="E231">
        <v>39596</v>
      </c>
      <c r="F231">
        <v>1</v>
      </c>
      <c r="G231" t="s">
        <v>501</v>
      </c>
      <c r="H231">
        <v>301671</v>
      </c>
      <c r="I231">
        <v>36</v>
      </c>
      <c r="J231">
        <v>16.5</v>
      </c>
      <c r="K231" t="s">
        <v>44</v>
      </c>
      <c r="L231">
        <v>0</v>
      </c>
      <c r="M231">
        <v>200807.89037759299</v>
      </c>
      <c r="N231">
        <v>5578</v>
      </c>
      <c r="O231" t="s">
        <v>26</v>
      </c>
      <c r="P231">
        <v>3</v>
      </c>
      <c r="Q231">
        <v>103</v>
      </c>
      <c r="R231" t="s">
        <v>34</v>
      </c>
      <c r="S231">
        <v>0</v>
      </c>
      <c r="T231" t="s">
        <v>28</v>
      </c>
      <c r="U231" t="s">
        <v>29</v>
      </c>
    </row>
    <row r="232" spans="1:21" x14ac:dyDescent="0.25">
      <c r="A232" t="s">
        <v>502</v>
      </c>
      <c r="B232">
        <v>46</v>
      </c>
      <c r="C232" t="s">
        <v>22</v>
      </c>
      <c r="D232" t="s">
        <v>49</v>
      </c>
      <c r="E232">
        <v>179246</v>
      </c>
      <c r="F232">
        <v>1</v>
      </c>
      <c r="G232" t="s">
        <v>503</v>
      </c>
      <c r="H232">
        <v>1940641</v>
      </c>
      <c r="I232">
        <v>36</v>
      </c>
      <c r="J232">
        <v>12.27</v>
      </c>
      <c r="K232" t="s">
        <v>25</v>
      </c>
      <c r="L232">
        <v>1194577.82367988</v>
      </c>
      <c r="M232">
        <v>569849.93863371597</v>
      </c>
      <c r="N232">
        <v>15829.16</v>
      </c>
      <c r="O232" t="s">
        <v>37</v>
      </c>
      <c r="P232">
        <v>1</v>
      </c>
      <c r="Q232">
        <v>177</v>
      </c>
      <c r="R232" t="s">
        <v>34</v>
      </c>
      <c r="S232">
        <v>1</v>
      </c>
      <c r="T232" t="s">
        <v>38</v>
      </c>
      <c r="U232" t="s">
        <v>29</v>
      </c>
    </row>
    <row r="233" spans="1:21" x14ac:dyDescent="0.25">
      <c r="A233" t="s">
        <v>504</v>
      </c>
      <c r="B233">
        <v>23</v>
      </c>
      <c r="C233" t="s">
        <v>22</v>
      </c>
      <c r="D233" t="s">
        <v>23</v>
      </c>
      <c r="E233">
        <v>79106</v>
      </c>
      <c r="F233">
        <v>1</v>
      </c>
      <c r="G233" t="s">
        <v>505</v>
      </c>
      <c r="H233">
        <v>1572494</v>
      </c>
      <c r="I233">
        <v>72</v>
      </c>
      <c r="J233">
        <v>15.77</v>
      </c>
      <c r="K233" t="s">
        <v>44</v>
      </c>
      <c r="L233">
        <v>0</v>
      </c>
      <c r="M233">
        <v>1045269.95540203</v>
      </c>
      <c r="N233">
        <v>14517.64</v>
      </c>
      <c r="O233" t="s">
        <v>26</v>
      </c>
      <c r="P233">
        <v>1</v>
      </c>
      <c r="Q233">
        <v>62</v>
      </c>
      <c r="R233" t="s">
        <v>34</v>
      </c>
      <c r="S233">
        <v>3</v>
      </c>
      <c r="T233" t="s">
        <v>28</v>
      </c>
      <c r="U233" t="s">
        <v>29</v>
      </c>
    </row>
    <row r="234" spans="1:21" x14ac:dyDescent="0.25">
      <c r="A234" t="s">
        <v>506</v>
      </c>
      <c r="B234">
        <v>39</v>
      </c>
      <c r="C234" t="s">
        <v>22</v>
      </c>
      <c r="D234" t="s">
        <v>49</v>
      </c>
      <c r="E234">
        <v>216039</v>
      </c>
      <c r="F234">
        <v>1</v>
      </c>
      <c r="G234" t="s">
        <v>507</v>
      </c>
      <c r="H234">
        <v>1674777</v>
      </c>
      <c r="I234">
        <v>72</v>
      </c>
      <c r="J234">
        <v>14.27</v>
      </c>
      <c r="K234" t="s">
        <v>44</v>
      </c>
      <c r="L234">
        <v>0</v>
      </c>
      <c r="M234">
        <v>1559717.06307321</v>
      </c>
      <c r="N234">
        <v>21662.74</v>
      </c>
      <c r="O234" t="s">
        <v>26</v>
      </c>
      <c r="P234">
        <v>2</v>
      </c>
      <c r="Q234">
        <v>78</v>
      </c>
      <c r="R234" t="s">
        <v>65</v>
      </c>
      <c r="S234">
        <v>0</v>
      </c>
      <c r="T234" t="s">
        <v>28</v>
      </c>
      <c r="U234" t="s">
        <v>79</v>
      </c>
    </row>
    <row r="235" spans="1:21" x14ac:dyDescent="0.25">
      <c r="A235" t="s">
        <v>508</v>
      </c>
      <c r="B235">
        <v>40</v>
      </c>
      <c r="C235" t="s">
        <v>31</v>
      </c>
      <c r="D235" t="s">
        <v>49</v>
      </c>
      <c r="E235">
        <v>74182</v>
      </c>
      <c r="F235">
        <v>0</v>
      </c>
      <c r="G235" t="s">
        <v>509</v>
      </c>
      <c r="H235">
        <v>824504</v>
      </c>
      <c r="I235">
        <v>60</v>
      </c>
      <c r="J235">
        <v>14.06</v>
      </c>
      <c r="K235" t="s">
        <v>44</v>
      </c>
      <c r="L235">
        <v>0</v>
      </c>
      <c r="M235">
        <v>822662.32030195603</v>
      </c>
      <c r="N235">
        <v>13711.04</v>
      </c>
      <c r="O235" t="s">
        <v>37</v>
      </c>
      <c r="P235">
        <v>1</v>
      </c>
      <c r="Q235">
        <v>169</v>
      </c>
      <c r="R235" t="s">
        <v>34</v>
      </c>
      <c r="S235">
        <v>2</v>
      </c>
      <c r="T235" t="s">
        <v>28</v>
      </c>
      <c r="U235" t="s">
        <v>29</v>
      </c>
    </row>
    <row r="236" spans="1:21" x14ac:dyDescent="0.25">
      <c r="A236" t="s">
        <v>510</v>
      </c>
      <c r="B236">
        <v>52</v>
      </c>
      <c r="C236" t="s">
        <v>22</v>
      </c>
      <c r="D236" t="s">
        <v>23</v>
      </c>
      <c r="E236">
        <v>239372</v>
      </c>
      <c r="F236">
        <v>2</v>
      </c>
      <c r="G236" t="s">
        <v>511</v>
      </c>
      <c r="H236">
        <v>1717640</v>
      </c>
      <c r="I236">
        <v>36</v>
      </c>
      <c r="J236">
        <v>9.2200000000000006</v>
      </c>
      <c r="K236" t="s">
        <v>33</v>
      </c>
      <c r="L236">
        <v>2295490.0341570498</v>
      </c>
      <c r="M236">
        <v>221929.34078486299</v>
      </c>
      <c r="N236">
        <v>6164.7</v>
      </c>
      <c r="O236" t="s">
        <v>26</v>
      </c>
      <c r="P236">
        <v>0</v>
      </c>
      <c r="Q236">
        <v>0</v>
      </c>
      <c r="R236" t="s">
        <v>27</v>
      </c>
      <c r="S236">
        <v>9</v>
      </c>
      <c r="T236" t="s">
        <v>41</v>
      </c>
      <c r="U236" t="s">
        <v>29</v>
      </c>
    </row>
    <row r="237" spans="1:21" x14ac:dyDescent="0.25">
      <c r="A237" t="s">
        <v>512</v>
      </c>
      <c r="B237">
        <v>27</v>
      </c>
      <c r="C237" t="s">
        <v>22</v>
      </c>
      <c r="D237" t="s">
        <v>49</v>
      </c>
      <c r="E237">
        <v>102163</v>
      </c>
      <c r="F237">
        <v>1</v>
      </c>
      <c r="G237" t="s">
        <v>513</v>
      </c>
      <c r="H237">
        <v>1124567</v>
      </c>
      <c r="I237">
        <v>12</v>
      </c>
      <c r="J237">
        <v>8.0399999999999991</v>
      </c>
      <c r="K237" t="s">
        <v>25</v>
      </c>
      <c r="L237">
        <v>1127339.7883567601</v>
      </c>
      <c r="M237">
        <v>350897.97236518899</v>
      </c>
      <c r="N237">
        <v>29241.5</v>
      </c>
      <c r="O237" t="s">
        <v>68</v>
      </c>
      <c r="P237">
        <v>9</v>
      </c>
      <c r="Q237">
        <v>148</v>
      </c>
      <c r="R237" t="s">
        <v>34</v>
      </c>
      <c r="S237">
        <v>1</v>
      </c>
      <c r="T237" t="s">
        <v>28</v>
      </c>
      <c r="U237" t="s">
        <v>29</v>
      </c>
    </row>
    <row r="238" spans="1:21" x14ac:dyDescent="0.25">
      <c r="A238" t="s">
        <v>514</v>
      </c>
      <c r="B238">
        <v>61</v>
      </c>
      <c r="C238" t="s">
        <v>22</v>
      </c>
      <c r="D238" t="s">
        <v>49</v>
      </c>
      <c r="E238">
        <v>54310</v>
      </c>
      <c r="F238">
        <v>2</v>
      </c>
      <c r="G238" t="s">
        <v>515</v>
      </c>
      <c r="H238">
        <v>564265</v>
      </c>
      <c r="I238">
        <v>12</v>
      </c>
      <c r="J238">
        <v>7.74</v>
      </c>
      <c r="K238" t="s">
        <v>25</v>
      </c>
      <c r="L238">
        <v>290247.328122598</v>
      </c>
      <c r="M238">
        <v>214012.40022298199</v>
      </c>
      <c r="N238">
        <v>17834.37</v>
      </c>
      <c r="O238" t="s">
        <v>68</v>
      </c>
      <c r="P238">
        <v>11</v>
      </c>
      <c r="Q238">
        <v>94</v>
      </c>
      <c r="R238" t="s">
        <v>65</v>
      </c>
      <c r="S238">
        <v>10</v>
      </c>
      <c r="T238" t="s">
        <v>28</v>
      </c>
      <c r="U238" t="s">
        <v>79</v>
      </c>
    </row>
    <row r="239" spans="1:21" x14ac:dyDescent="0.25">
      <c r="A239" t="s">
        <v>516</v>
      </c>
      <c r="B239">
        <v>53</v>
      </c>
      <c r="C239" t="s">
        <v>22</v>
      </c>
      <c r="D239" t="s">
        <v>23</v>
      </c>
      <c r="E239">
        <v>71088</v>
      </c>
      <c r="F239">
        <v>1</v>
      </c>
      <c r="G239" t="s">
        <v>517</v>
      </c>
      <c r="H239">
        <v>1808781</v>
      </c>
      <c r="I239">
        <v>36</v>
      </c>
      <c r="J239">
        <v>16.14</v>
      </c>
      <c r="K239" t="s">
        <v>25</v>
      </c>
      <c r="L239">
        <v>2356807.8211631798</v>
      </c>
      <c r="M239">
        <v>830616.63638005196</v>
      </c>
      <c r="N239">
        <v>23072.68</v>
      </c>
      <c r="O239" t="s">
        <v>26</v>
      </c>
      <c r="P239">
        <v>0</v>
      </c>
      <c r="Q239">
        <v>0</v>
      </c>
      <c r="R239" t="s">
        <v>34</v>
      </c>
      <c r="S239">
        <v>0</v>
      </c>
      <c r="T239" t="s">
        <v>28</v>
      </c>
      <c r="U239" t="s">
        <v>29</v>
      </c>
    </row>
    <row r="240" spans="1:21" x14ac:dyDescent="0.25">
      <c r="A240" t="s">
        <v>518</v>
      </c>
      <c r="B240">
        <v>60</v>
      </c>
      <c r="C240" t="s">
        <v>31</v>
      </c>
      <c r="D240" t="s">
        <v>23</v>
      </c>
      <c r="E240">
        <v>143803</v>
      </c>
      <c r="F240">
        <v>1</v>
      </c>
      <c r="G240" t="s">
        <v>519</v>
      </c>
      <c r="H240">
        <v>678380</v>
      </c>
      <c r="I240">
        <v>12</v>
      </c>
      <c r="J240">
        <v>15.67</v>
      </c>
      <c r="K240" t="s">
        <v>44</v>
      </c>
      <c r="L240">
        <v>0</v>
      </c>
      <c r="M240">
        <v>215746.16950611901</v>
      </c>
      <c r="N240">
        <v>17978.849999999999</v>
      </c>
      <c r="O240" t="s">
        <v>26</v>
      </c>
      <c r="P240">
        <v>2</v>
      </c>
      <c r="Q240">
        <v>121</v>
      </c>
      <c r="R240" t="s">
        <v>65</v>
      </c>
      <c r="S240">
        <v>10</v>
      </c>
      <c r="T240" t="s">
        <v>45</v>
      </c>
      <c r="U240" t="s">
        <v>79</v>
      </c>
    </row>
    <row r="241" spans="1:21" x14ac:dyDescent="0.25">
      <c r="A241" t="s">
        <v>520</v>
      </c>
      <c r="B241">
        <v>59</v>
      </c>
      <c r="C241" t="s">
        <v>22</v>
      </c>
      <c r="D241" t="s">
        <v>23</v>
      </c>
      <c r="E241">
        <v>154978</v>
      </c>
      <c r="F241">
        <v>0</v>
      </c>
      <c r="G241" t="s">
        <v>521</v>
      </c>
      <c r="H241">
        <v>279577</v>
      </c>
      <c r="I241">
        <v>12</v>
      </c>
      <c r="J241">
        <v>10.73</v>
      </c>
      <c r="K241" t="s">
        <v>64</v>
      </c>
      <c r="L241">
        <v>413995.889736393</v>
      </c>
      <c r="M241">
        <v>79159.206748411496</v>
      </c>
      <c r="N241">
        <v>6596.6</v>
      </c>
      <c r="O241" t="s">
        <v>68</v>
      </c>
      <c r="P241">
        <v>0</v>
      </c>
      <c r="Q241">
        <v>0</v>
      </c>
      <c r="R241" t="s">
        <v>27</v>
      </c>
      <c r="S241">
        <v>7</v>
      </c>
      <c r="T241" t="s">
        <v>41</v>
      </c>
      <c r="U241" t="s">
        <v>29</v>
      </c>
    </row>
    <row r="242" spans="1:21" x14ac:dyDescent="0.25">
      <c r="A242" t="s">
        <v>522</v>
      </c>
      <c r="B242">
        <v>38</v>
      </c>
      <c r="C242" t="s">
        <v>22</v>
      </c>
      <c r="D242" t="s">
        <v>23</v>
      </c>
      <c r="E242">
        <v>51914</v>
      </c>
      <c r="F242">
        <v>3</v>
      </c>
      <c r="G242" t="s">
        <v>523</v>
      </c>
      <c r="H242">
        <v>760672</v>
      </c>
      <c r="I242">
        <v>72</v>
      </c>
      <c r="J242">
        <v>6.72</v>
      </c>
      <c r="K242" t="s">
        <v>44</v>
      </c>
      <c r="L242">
        <v>0</v>
      </c>
      <c r="M242">
        <v>729559.34237746405</v>
      </c>
      <c r="N242">
        <v>10132.77</v>
      </c>
      <c r="O242" t="s">
        <v>68</v>
      </c>
      <c r="P242">
        <v>0</v>
      </c>
      <c r="Q242">
        <v>0</v>
      </c>
      <c r="R242" t="s">
        <v>34</v>
      </c>
      <c r="S242">
        <v>2</v>
      </c>
      <c r="T242" t="s">
        <v>45</v>
      </c>
      <c r="U242" t="s">
        <v>29</v>
      </c>
    </row>
    <row r="243" spans="1:21" x14ac:dyDescent="0.25">
      <c r="A243" t="s">
        <v>524</v>
      </c>
      <c r="B243">
        <v>60</v>
      </c>
      <c r="C243" t="s">
        <v>31</v>
      </c>
      <c r="D243" t="s">
        <v>23</v>
      </c>
      <c r="E243">
        <v>125350</v>
      </c>
      <c r="F243">
        <v>3</v>
      </c>
      <c r="G243" t="s">
        <v>525</v>
      </c>
      <c r="H243">
        <v>453777</v>
      </c>
      <c r="I243">
        <v>60</v>
      </c>
      <c r="J243">
        <v>9.9700000000000006</v>
      </c>
      <c r="K243" t="s">
        <v>64</v>
      </c>
      <c r="L243">
        <v>501843.87117649103</v>
      </c>
      <c r="M243">
        <v>420501.27960635797</v>
      </c>
      <c r="N243">
        <v>7008.35</v>
      </c>
      <c r="O243" t="s">
        <v>26</v>
      </c>
      <c r="P243">
        <v>3</v>
      </c>
      <c r="Q243">
        <v>141</v>
      </c>
      <c r="R243" t="s">
        <v>27</v>
      </c>
      <c r="S243">
        <v>10</v>
      </c>
      <c r="T243" t="s">
        <v>41</v>
      </c>
      <c r="U243" t="s">
        <v>29</v>
      </c>
    </row>
    <row r="244" spans="1:21" x14ac:dyDescent="0.25">
      <c r="A244" t="s">
        <v>526</v>
      </c>
      <c r="B244">
        <v>21</v>
      </c>
      <c r="C244" t="s">
        <v>22</v>
      </c>
      <c r="D244" t="s">
        <v>49</v>
      </c>
      <c r="E244">
        <v>60379</v>
      </c>
      <c r="F244">
        <v>0</v>
      </c>
      <c r="G244" t="s">
        <v>527</v>
      </c>
      <c r="H244">
        <v>1859977</v>
      </c>
      <c r="I244">
        <v>36</v>
      </c>
      <c r="J244">
        <v>13.05</v>
      </c>
      <c r="K244" t="s">
        <v>25</v>
      </c>
      <c r="L244">
        <v>1866874.5146834699</v>
      </c>
      <c r="M244">
        <v>264662.17393444799</v>
      </c>
      <c r="N244">
        <v>7351.73</v>
      </c>
      <c r="O244" t="s">
        <v>37</v>
      </c>
      <c r="P244">
        <v>1</v>
      </c>
      <c r="Q244">
        <v>135</v>
      </c>
      <c r="R244" t="s">
        <v>34</v>
      </c>
      <c r="S244">
        <v>3</v>
      </c>
      <c r="T244" t="s">
        <v>38</v>
      </c>
      <c r="U244" t="s">
        <v>29</v>
      </c>
    </row>
    <row r="245" spans="1:21" x14ac:dyDescent="0.25">
      <c r="A245" t="s">
        <v>528</v>
      </c>
      <c r="B245">
        <v>31</v>
      </c>
      <c r="C245" t="s">
        <v>31</v>
      </c>
      <c r="D245" t="s">
        <v>23</v>
      </c>
      <c r="E245">
        <v>224684</v>
      </c>
      <c r="F245">
        <v>2</v>
      </c>
      <c r="G245" t="s">
        <v>529</v>
      </c>
      <c r="H245">
        <v>145556</v>
      </c>
      <c r="I245">
        <v>24</v>
      </c>
      <c r="J245">
        <v>10.91</v>
      </c>
      <c r="K245" t="s">
        <v>64</v>
      </c>
      <c r="L245">
        <v>200636.69936137201</v>
      </c>
      <c r="M245">
        <v>58940.241355443803</v>
      </c>
      <c r="N245">
        <v>2455.84</v>
      </c>
      <c r="O245" t="s">
        <v>26</v>
      </c>
      <c r="P245">
        <v>0</v>
      </c>
      <c r="Q245">
        <v>0</v>
      </c>
      <c r="R245" t="s">
        <v>34</v>
      </c>
      <c r="S245">
        <v>0</v>
      </c>
      <c r="T245" t="s">
        <v>45</v>
      </c>
      <c r="U245" t="s">
        <v>29</v>
      </c>
    </row>
    <row r="246" spans="1:21" x14ac:dyDescent="0.25">
      <c r="A246" t="s">
        <v>530</v>
      </c>
      <c r="B246">
        <v>48</v>
      </c>
      <c r="C246" t="s">
        <v>22</v>
      </c>
      <c r="D246" t="s">
        <v>23</v>
      </c>
      <c r="E246">
        <v>183722</v>
      </c>
      <c r="F246">
        <v>3</v>
      </c>
      <c r="G246" t="s">
        <v>531</v>
      </c>
      <c r="H246">
        <v>1947883</v>
      </c>
      <c r="I246">
        <v>48</v>
      </c>
      <c r="J246">
        <v>15.14</v>
      </c>
      <c r="K246" t="s">
        <v>44</v>
      </c>
      <c r="L246">
        <v>0</v>
      </c>
      <c r="M246">
        <v>905052.08216628002</v>
      </c>
      <c r="N246">
        <v>18855.25</v>
      </c>
      <c r="O246" t="s">
        <v>26</v>
      </c>
      <c r="P246">
        <v>0</v>
      </c>
      <c r="Q246">
        <v>0</v>
      </c>
      <c r="R246" t="s">
        <v>27</v>
      </c>
      <c r="S246">
        <v>2</v>
      </c>
      <c r="T246" t="s">
        <v>38</v>
      </c>
      <c r="U246" t="s">
        <v>29</v>
      </c>
    </row>
    <row r="247" spans="1:21" x14ac:dyDescent="0.25">
      <c r="A247" t="s">
        <v>532</v>
      </c>
      <c r="B247">
        <v>45</v>
      </c>
      <c r="C247" t="s">
        <v>31</v>
      </c>
      <c r="D247" t="s">
        <v>58</v>
      </c>
      <c r="E247">
        <v>192953</v>
      </c>
      <c r="F247">
        <v>0</v>
      </c>
      <c r="G247" t="s">
        <v>533</v>
      </c>
      <c r="H247">
        <v>1255565</v>
      </c>
      <c r="I247">
        <v>12</v>
      </c>
      <c r="J247">
        <v>17.97</v>
      </c>
      <c r="K247" t="s">
        <v>25</v>
      </c>
      <c r="L247">
        <v>1823729.24304034</v>
      </c>
      <c r="M247">
        <v>395644.95579606103</v>
      </c>
      <c r="N247">
        <v>32970.410000000003</v>
      </c>
      <c r="O247" t="s">
        <v>37</v>
      </c>
      <c r="P247">
        <v>1</v>
      </c>
      <c r="Q247">
        <v>88</v>
      </c>
      <c r="R247" t="s">
        <v>65</v>
      </c>
      <c r="S247">
        <v>0</v>
      </c>
      <c r="T247" t="s">
        <v>28</v>
      </c>
      <c r="U247" t="s">
        <v>29</v>
      </c>
    </row>
    <row r="248" spans="1:21" x14ac:dyDescent="0.25">
      <c r="A248" t="s">
        <v>534</v>
      </c>
      <c r="B248">
        <v>43</v>
      </c>
      <c r="C248" t="s">
        <v>22</v>
      </c>
      <c r="D248" t="s">
        <v>49</v>
      </c>
      <c r="E248">
        <v>61413</v>
      </c>
      <c r="F248">
        <v>0</v>
      </c>
      <c r="G248" t="s">
        <v>535</v>
      </c>
      <c r="H248">
        <v>1422840</v>
      </c>
      <c r="I248">
        <v>72</v>
      </c>
      <c r="J248">
        <v>7.48</v>
      </c>
      <c r="K248" t="s">
        <v>44</v>
      </c>
      <c r="L248">
        <v>0</v>
      </c>
      <c r="M248">
        <v>947590.96147559001</v>
      </c>
      <c r="N248">
        <v>13160.99</v>
      </c>
      <c r="O248" t="s">
        <v>26</v>
      </c>
      <c r="P248">
        <v>0</v>
      </c>
      <c r="Q248">
        <v>0</v>
      </c>
      <c r="R248" t="s">
        <v>34</v>
      </c>
      <c r="S248">
        <v>0</v>
      </c>
      <c r="T248" t="s">
        <v>38</v>
      </c>
      <c r="U248" t="s">
        <v>29</v>
      </c>
    </row>
    <row r="249" spans="1:21" x14ac:dyDescent="0.25">
      <c r="A249" t="s">
        <v>536</v>
      </c>
      <c r="B249">
        <v>51</v>
      </c>
      <c r="C249" t="s">
        <v>31</v>
      </c>
      <c r="D249" t="s">
        <v>23</v>
      </c>
      <c r="E249">
        <v>152084</v>
      </c>
      <c r="F249">
        <v>3</v>
      </c>
      <c r="G249" t="s">
        <v>537</v>
      </c>
      <c r="H249">
        <v>445204</v>
      </c>
      <c r="I249">
        <v>36</v>
      </c>
      <c r="J249">
        <v>10.98</v>
      </c>
      <c r="K249" t="s">
        <v>44</v>
      </c>
      <c r="L249">
        <v>0</v>
      </c>
      <c r="M249">
        <v>301110.46293610201</v>
      </c>
      <c r="N249">
        <v>8364.18</v>
      </c>
      <c r="O249" t="s">
        <v>68</v>
      </c>
      <c r="P249">
        <v>9</v>
      </c>
      <c r="Q249">
        <v>108</v>
      </c>
      <c r="R249" t="s">
        <v>34</v>
      </c>
      <c r="S249">
        <v>2</v>
      </c>
      <c r="T249" t="s">
        <v>38</v>
      </c>
      <c r="U249" t="s">
        <v>29</v>
      </c>
    </row>
    <row r="250" spans="1:21" x14ac:dyDescent="0.25">
      <c r="A250" t="s">
        <v>538</v>
      </c>
      <c r="B250">
        <v>50</v>
      </c>
      <c r="C250" t="s">
        <v>22</v>
      </c>
      <c r="D250" t="s">
        <v>23</v>
      </c>
      <c r="E250">
        <v>196187</v>
      </c>
      <c r="F250">
        <v>2</v>
      </c>
      <c r="G250" t="s">
        <v>539</v>
      </c>
      <c r="H250">
        <v>1605537</v>
      </c>
      <c r="I250">
        <v>36</v>
      </c>
      <c r="J250">
        <v>10.6</v>
      </c>
      <c r="K250" t="s">
        <v>25</v>
      </c>
      <c r="L250">
        <v>2014205.4363472899</v>
      </c>
      <c r="M250">
        <v>1389518.1065142101</v>
      </c>
      <c r="N250">
        <v>38597.730000000003</v>
      </c>
      <c r="O250" t="s">
        <v>26</v>
      </c>
      <c r="P250">
        <v>0</v>
      </c>
      <c r="Q250">
        <v>0</v>
      </c>
      <c r="R250" t="s">
        <v>27</v>
      </c>
      <c r="S250">
        <v>7</v>
      </c>
      <c r="T250" t="s">
        <v>38</v>
      </c>
      <c r="U250" t="s">
        <v>29</v>
      </c>
    </row>
    <row r="251" spans="1:21" x14ac:dyDescent="0.25">
      <c r="A251" t="s">
        <v>540</v>
      </c>
      <c r="B251">
        <v>62</v>
      </c>
      <c r="C251" t="s">
        <v>22</v>
      </c>
      <c r="D251" t="s">
        <v>23</v>
      </c>
      <c r="E251">
        <v>22151</v>
      </c>
      <c r="F251">
        <v>0</v>
      </c>
      <c r="G251" t="s">
        <v>541</v>
      </c>
      <c r="H251">
        <v>1995049</v>
      </c>
      <c r="I251">
        <v>36</v>
      </c>
      <c r="J251">
        <v>8.9600000000000009</v>
      </c>
      <c r="K251" t="s">
        <v>44</v>
      </c>
      <c r="L251">
        <v>0</v>
      </c>
      <c r="M251">
        <v>1529768.34372039</v>
      </c>
      <c r="N251">
        <v>42493.57</v>
      </c>
      <c r="O251" t="s">
        <v>37</v>
      </c>
      <c r="P251">
        <v>1</v>
      </c>
      <c r="Q251">
        <v>140</v>
      </c>
      <c r="R251" t="s">
        <v>27</v>
      </c>
      <c r="S251">
        <v>1</v>
      </c>
      <c r="T251" t="s">
        <v>38</v>
      </c>
      <c r="U251" t="s">
        <v>29</v>
      </c>
    </row>
    <row r="252" spans="1:21" x14ac:dyDescent="0.25">
      <c r="A252" t="s">
        <v>542</v>
      </c>
      <c r="B252">
        <v>55</v>
      </c>
      <c r="C252" t="s">
        <v>22</v>
      </c>
      <c r="D252" t="s">
        <v>49</v>
      </c>
      <c r="E252">
        <v>72716</v>
      </c>
      <c r="F252">
        <v>1</v>
      </c>
      <c r="G252" t="s">
        <v>543</v>
      </c>
      <c r="H252">
        <v>702755</v>
      </c>
      <c r="I252">
        <v>12</v>
      </c>
      <c r="J252">
        <v>7.58</v>
      </c>
      <c r="K252" t="s">
        <v>25</v>
      </c>
      <c r="L252">
        <v>664421.77363541897</v>
      </c>
      <c r="M252">
        <v>413442.00655276398</v>
      </c>
      <c r="N252">
        <v>34453.5</v>
      </c>
      <c r="O252" t="s">
        <v>26</v>
      </c>
      <c r="P252">
        <v>3</v>
      </c>
      <c r="Q252">
        <v>84</v>
      </c>
      <c r="R252" t="s">
        <v>27</v>
      </c>
      <c r="S252">
        <v>1</v>
      </c>
      <c r="T252" t="s">
        <v>41</v>
      </c>
      <c r="U252" t="s">
        <v>29</v>
      </c>
    </row>
    <row r="253" spans="1:21" x14ac:dyDescent="0.25">
      <c r="A253" t="s">
        <v>544</v>
      </c>
      <c r="B253">
        <v>27</v>
      </c>
      <c r="C253" t="s">
        <v>31</v>
      </c>
      <c r="D253" t="s">
        <v>23</v>
      </c>
      <c r="E253">
        <v>108747</v>
      </c>
      <c r="F253">
        <v>2</v>
      </c>
      <c r="G253" t="s">
        <v>545</v>
      </c>
      <c r="H253">
        <v>1619192</v>
      </c>
      <c r="I253">
        <v>48</v>
      </c>
      <c r="J253">
        <v>5.85</v>
      </c>
      <c r="K253" t="s">
        <v>44</v>
      </c>
      <c r="L253">
        <v>0</v>
      </c>
      <c r="M253">
        <v>1114373.42242559</v>
      </c>
      <c r="N253">
        <v>23216.11</v>
      </c>
      <c r="O253" t="s">
        <v>26</v>
      </c>
      <c r="P253">
        <v>0</v>
      </c>
      <c r="Q253">
        <v>0</v>
      </c>
      <c r="R253" t="s">
        <v>27</v>
      </c>
      <c r="S253">
        <v>3</v>
      </c>
      <c r="T253" t="s">
        <v>45</v>
      </c>
      <c r="U253" t="s">
        <v>29</v>
      </c>
    </row>
    <row r="254" spans="1:21" x14ac:dyDescent="0.25">
      <c r="A254" t="s">
        <v>546</v>
      </c>
      <c r="B254">
        <v>36</v>
      </c>
      <c r="C254" t="s">
        <v>31</v>
      </c>
      <c r="D254" t="s">
        <v>23</v>
      </c>
      <c r="E254">
        <v>238725</v>
      </c>
      <c r="F254">
        <v>2</v>
      </c>
      <c r="G254" t="s">
        <v>547</v>
      </c>
      <c r="H254">
        <v>1506048</v>
      </c>
      <c r="I254">
        <v>60</v>
      </c>
      <c r="J254">
        <v>16.53</v>
      </c>
      <c r="K254" t="s">
        <v>44</v>
      </c>
      <c r="L254">
        <v>0</v>
      </c>
      <c r="M254">
        <v>521981.03081876901</v>
      </c>
      <c r="N254">
        <v>8699.68</v>
      </c>
      <c r="O254" t="s">
        <v>37</v>
      </c>
      <c r="P254">
        <v>1</v>
      </c>
      <c r="Q254">
        <v>90</v>
      </c>
      <c r="R254" t="s">
        <v>34</v>
      </c>
      <c r="S254">
        <v>1</v>
      </c>
      <c r="T254" t="s">
        <v>41</v>
      </c>
      <c r="U254" t="s">
        <v>29</v>
      </c>
    </row>
    <row r="255" spans="1:21" x14ac:dyDescent="0.25">
      <c r="A255" t="s">
        <v>548</v>
      </c>
      <c r="B255">
        <v>46</v>
      </c>
      <c r="C255" t="s">
        <v>31</v>
      </c>
      <c r="D255" t="s">
        <v>58</v>
      </c>
      <c r="E255">
        <v>182450</v>
      </c>
      <c r="F255">
        <v>3</v>
      </c>
      <c r="G255" t="s">
        <v>549</v>
      </c>
      <c r="H255">
        <v>1479210</v>
      </c>
      <c r="I255">
        <v>60</v>
      </c>
      <c r="J255">
        <v>10.46</v>
      </c>
      <c r="K255" t="s">
        <v>33</v>
      </c>
      <c r="L255">
        <v>1615624.81610506</v>
      </c>
      <c r="M255">
        <v>937450.182085454</v>
      </c>
      <c r="N255">
        <v>15624.17</v>
      </c>
      <c r="O255" t="s">
        <v>26</v>
      </c>
      <c r="P255">
        <v>0</v>
      </c>
      <c r="Q255">
        <v>0</v>
      </c>
      <c r="R255" t="s">
        <v>65</v>
      </c>
      <c r="S255">
        <v>6</v>
      </c>
      <c r="T255" t="s">
        <v>41</v>
      </c>
      <c r="U255" t="s">
        <v>29</v>
      </c>
    </row>
    <row r="256" spans="1:21" x14ac:dyDescent="0.25">
      <c r="A256" t="s">
        <v>550</v>
      </c>
      <c r="B256">
        <v>22</v>
      </c>
      <c r="C256" t="s">
        <v>22</v>
      </c>
      <c r="D256" t="s">
        <v>23</v>
      </c>
      <c r="E256">
        <v>188724</v>
      </c>
      <c r="F256">
        <v>3</v>
      </c>
      <c r="G256" t="s">
        <v>551</v>
      </c>
      <c r="H256">
        <v>793088</v>
      </c>
      <c r="I256">
        <v>24</v>
      </c>
      <c r="J256">
        <v>11.46</v>
      </c>
      <c r="K256" t="s">
        <v>25</v>
      </c>
      <c r="L256">
        <v>952447.42677139502</v>
      </c>
      <c r="M256">
        <v>428509.03851359402</v>
      </c>
      <c r="N256">
        <v>17854.54</v>
      </c>
      <c r="O256" t="s">
        <v>26</v>
      </c>
      <c r="P256">
        <v>0</v>
      </c>
      <c r="Q256">
        <v>0</v>
      </c>
      <c r="R256" t="s">
        <v>34</v>
      </c>
      <c r="S256">
        <v>3</v>
      </c>
      <c r="T256" t="s">
        <v>41</v>
      </c>
      <c r="U256" t="s">
        <v>29</v>
      </c>
    </row>
    <row r="257" spans="1:21" x14ac:dyDescent="0.25">
      <c r="A257" t="s">
        <v>552</v>
      </c>
      <c r="B257">
        <v>21</v>
      </c>
      <c r="C257" t="s">
        <v>31</v>
      </c>
      <c r="D257" t="s">
        <v>49</v>
      </c>
      <c r="E257">
        <v>218502</v>
      </c>
      <c r="F257">
        <v>1</v>
      </c>
      <c r="G257" t="s">
        <v>553</v>
      </c>
      <c r="H257">
        <v>700443</v>
      </c>
      <c r="I257">
        <v>48</v>
      </c>
      <c r="J257">
        <v>16.920000000000002</v>
      </c>
      <c r="K257" t="s">
        <v>25</v>
      </c>
      <c r="L257">
        <v>486299.06289321498</v>
      </c>
      <c r="M257">
        <v>154104.47884843199</v>
      </c>
      <c r="N257">
        <v>3210.51</v>
      </c>
      <c r="O257" t="s">
        <v>26</v>
      </c>
      <c r="P257">
        <v>3</v>
      </c>
      <c r="Q257">
        <v>179</v>
      </c>
      <c r="R257" t="s">
        <v>34</v>
      </c>
      <c r="S257">
        <v>2</v>
      </c>
      <c r="T257" t="s">
        <v>38</v>
      </c>
      <c r="U257" t="s">
        <v>29</v>
      </c>
    </row>
    <row r="258" spans="1:21" x14ac:dyDescent="0.25">
      <c r="A258" t="s">
        <v>554</v>
      </c>
      <c r="B258">
        <v>32</v>
      </c>
      <c r="C258" t="s">
        <v>22</v>
      </c>
      <c r="D258" t="s">
        <v>58</v>
      </c>
      <c r="E258">
        <v>159539</v>
      </c>
      <c r="F258">
        <v>0</v>
      </c>
      <c r="G258" t="s">
        <v>555</v>
      </c>
      <c r="H258">
        <v>1388950</v>
      </c>
      <c r="I258">
        <v>48</v>
      </c>
      <c r="J258">
        <v>15.09</v>
      </c>
      <c r="K258" t="s">
        <v>25</v>
      </c>
      <c r="L258">
        <v>1315614.8736970201</v>
      </c>
      <c r="M258">
        <v>442088.68566392601</v>
      </c>
      <c r="N258">
        <v>9210.18</v>
      </c>
      <c r="O258" t="s">
        <v>26</v>
      </c>
      <c r="P258">
        <v>2</v>
      </c>
      <c r="Q258">
        <v>116</v>
      </c>
      <c r="R258" t="s">
        <v>34</v>
      </c>
      <c r="S258">
        <v>3</v>
      </c>
      <c r="T258" t="s">
        <v>41</v>
      </c>
      <c r="U258" t="s">
        <v>29</v>
      </c>
    </row>
    <row r="259" spans="1:21" x14ac:dyDescent="0.25">
      <c r="A259" t="s">
        <v>556</v>
      </c>
      <c r="B259">
        <v>25</v>
      </c>
      <c r="C259" t="s">
        <v>22</v>
      </c>
      <c r="D259" t="s">
        <v>23</v>
      </c>
      <c r="E259">
        <v>177082</v>
      </c>
      <c r="F259">
        <v>3</v>
      </c>
      <c r="G259" t="s">
        <v>557</v>
      </c>
      <c r="H259">
        <v>548682</v>
      </c>
      <c r="I259">
        <v>72</v>
      </c>
      <c r="J259">
        <v>6.7</v>
      </c>
      <c r="K259" t="s">
        <v>33</v>
      </c>
      <c r="L259">
        <v>729648.991167609</v>
      </c>
      <c r="M259">
        <v>198910.451335939</v>
      </c>
      <c r="N259">
        <v>2762.65</v>
      </c>
      <c r="O259" t="s">
        <v>37</v>
      </c>
      <c r="P259">
        <v>2</v>
      </c>
      <c r="Q259">
        <v>69</v>
      </c>
      <c r="R259" t="s">
        <v>34</v>
      </c>
      <c r="S259">
        <v>1</v>
      </c>
      <c r="T259" t="s">
        <v>45</v>
      </c>
      <c r="U259" t="s">
        <v>29</v>
      </c>
    </row>
    <row r="260" spans="1:21" x14ac:dyDescent="0.25">
      <c r="A260" t="s">
        <v>558</v>
      </c>
      <c r="B260">
        <v>57</v>
      </c>
      <c r="C260" t="s">
        <v>22</v>
      </c>
      <c r="D260" t="s">
        <v>49</v>
      </c>
      <c r="E260">
        <v>136999</v>
      </c>
      <c r="F260">
        <v>3</v>
      </c>
      <c r="G260" t="s">
        <v>559</v>
      </c>
      <c r="H260">
        <v>109778</v>
      </c>
      <c r="I260">
        <v>36</v>
      </c>
      <c r="J260">
        <v>12.35</v>
      </c>
      <c r="K260" t="s">
        <v>44</v>
      </c>
      <c r="L260">
        <v>0</v>
      </c>
      <c r="M260">
        <v>102299.770086706</v>
      </c>
      <c r="N260">
        <v>2841.66</v>
      </c>
      <c r="O260" t="s">
        <v>26</v>
      </c>
      <c r="P260">
        <v>1</v>
      </c>
      <c r="Q260">
        <v>78</v>
      </c>
      <c r="R260" t="s">
        <v>34</v>
      </c>
      <c r="S260">
        <v>3</v>
      </c>
      <c r="T260" t="s">
        <v>41</v>
      </c>
      <c r="U260" t="s">
        <v>29</v>
      </c>
    </row>
    <row r="261" spans="1:21" x14ac:dyDescent="0.25">
      <c r="A261" t="s">
        <v>560</v>
      </c>
      <c r="B261">
        <v>52</v>
      </c>
      <c r="C261" t="s">
        <v>31</v>
      </c>
      <c r="D261" t="s">
        <v>23</v>
      </c>
      <c r="E261">
        <v>129793</v>
      </c>
      <c r="F261">
        <v>2</v>
      </c>
      <c r="G261" t="s">
        <v>561</v>
      </c>
      <c r="H261">
        <v>1144409</v>
      </c>
      <c r="I261">
        <v>36</v>
      </c>
      <c r="J261">
        <v>10.75</v>
      </c>
      <c r="K261" t="s">
        <v>25</v>
      </c>
      <c r="L261">
        <v>1321478.08134975</v>
      </c>
      <c r="M261">
        <v>351731.78923366999</v>
      </c>
      <c r="N261">
        <v>9770.33</v>
      </c>
      <c r="O261" t="s">
        <v>26</v>
      </c>
      <c r="P261">
        <v>2</v>
      </c>
      <c r="Q261">
        <v>64</v>
      </c>
      <c r="R261" t="s">
        <v>27</v>
      </c>
      <c r="S261">
        <v>10</v>
      </c>
      <c r="T261" t="s">
        <v>28</v>
      </c>
      <c r="U261" t="s">
        <v>29</v>
      </c>
    </row>
    <row r="262" spans="1:21" x14ac:dyDescent="0.25">
      <c r="A262" t="s">
        <v>562</v>
      </c>
      <c r="B262">
        <v>29</v>
      </c>
      <c r="C262" t="s">
        <v>22</v>
      </c>
      <c r="D262" t="s">
        <v>58</v>
      </c>
      <c r="E262">
        <v>200763</v>
      </c>
      <c r="F262">
        <v>3</v>
      </c>
      <c r="G262" t="s">
        <v>563</v>
      </c>
      <c r="H262">
        <v>859057</v>
      </c>
      <c r="I262">
        <v>48</v>
      </c>
      <c r="J262">
        <v>15.36</v>
      </c>
      <c r="K262" t="s">
        <v>64</v>
      </c>
      <c r="L262">
        <v>782776.23236681405</v>
      </c>
      <c r="M262">
        <v>309534.99948210001</v>
      </c>
      <c r="N262">
        <v>6448.65</v>
      </c>
      <c r="O262" t="s">
        <v>26</v>
      </c>
      <c r="P262">
        <v>1</v>
      </c>
      <c r="Q262">
        <v>59</v>
      </c>
      <c r="R262" t="s">
        <v>34</v>
      </c>
      <c r="S262">
        <v>0</v>
      </c>
      <c r="T262" t="s">
        <v>38</v>
      </c>
      <c r="U262" t="s">
        <v>29</v>
      </c>
    </row>
    <row r="263" spans="1:21" x14ac:dyDescent="0.25">
      <c r="A263" t="s">
        <v>564</v>
      </c>
      <c r="B263">
        <v>61</v>
      </c>
      <c r="C263" t="s">
        <v>22</v>
      </c>
      <c r="D263" t="s">
        <v>23</v>
      </c>
      <c r="E263">
        <v>210229</v>
      </c>
      <c r="F263">
        <v>3</v>
      </c>
      <c r="G263" t="s">
        <v>565</v>
      </c>
      <c r="H263">
        <v>606376</v>
      </c>
      <c r="I263">
        <v>48</v>
      </c>
      <c r="J263">
        <v>14.42</v>
      </c>
      <c r="K263" t="s">
        <v>33</v>
      </c>
      <c r="L263">
        <v>705435.11992568604</v>
      </c>
      <c r="M263">
        <v>262208.33198839898</v>
      </c>
      <c r="N263">
        <v>5462.67</v>
      </c>
      <c r="O263" t="s">
        <v>26</v>
      </c>
      <c r="P263">
        <v>2</v>
      </c>
      <c r="Q263">
        <v>30</v>
      </c>
      <c r="R263" t="s">
        <v>34</v>
      </c>
      <c r="S263">
        <v>3</v>
      </c>
      <c r="T263" t="s">
        <v>28</v>
      </c>
      <c r="U263" t="s">
        <v>29</v>
      </c>
    </row>
    <row r="264" spans="1:21" x14ac:dyDescent="0.25">
      <c r="A264" t="s">
        <v>566</v>
      </c>
      <c r="B264">
        <v>55</v>
      </c>
      <c r="C264" t="s">
        <v>31</v>
      </c>
      <c r="D264" t="s">
        <v>49</v>
      </c>
      <c r="E264">
        <v>123177</v>
      </c>
      <c r="F264">
        <v>3</v>
      </c>
      <c r="G264" t="s">
        <v>567</v>
      </c>
      <c r="H264">
        <v>1833586</v>
      </c>
      <c r="I264">
        <v>48</v>
      </c>
      <c r="J264">
        <v>13.98</v>
      </c>
      <c r="K264" t="s">
        <v>25</v>
      </c>
      <c r="L264">
        <v>1133563.9596622901</v>
      </c>
      <c r="M264">
        <v>1278685.0538306499</v>
      </c>
      <c r="N264">
        <v>26639.27</v>
      </c>
      <c r="O264" t="s">
        <v>26</v>
      </c>
      <c r="P264">
        <v>3</v>
      </c>
      <c r="Q264">
        <v>49</v>
      </c>
      <c r="R264" t="s">
        <v>27</v>
      </c>
      <c r="S264">
        <v>9</v>
      </c>
      <c r="T264" t="s">
        <v>45</v>
      </c>
      <c r="U264" t="s">
        <v>29</v>
      </c>
    </row>
    <row r="265" spans="1:21" x14ac:dyDescent="0.25">
      <c r="A265" t="s">
        <v>568</v>
      </c>
      <c r="B265">
        <v>39</v>
      </c>
      <c r="C265" t="s">
        <v>22</v>
      </c>
      <c r="D265" t="s">
        <v>23</v>
      </c>
      <c r="E265">
        <v>27289</v>
      </c>
      <c r="F265">
        <v>3</v>
      </c>
      <c r="G265" t="s">
        <v>569</v>
      </c>
      <c r="H265">
        <v>1464657</v>
      </c>
      <c r="I265">
        <v>36</v>
      </c>
      <c r="J265">
        <v>9.43</v>
      </c>
      <c r="K265" t="s">
        <v>25</v>
      </c>
      <c r="L265">
        <v>1320384.7857971201</v>
      </c>
      <c r="M265">
        <v>302326.52028276102</v>
      </c>
      <c r="N265">
        <v>8397.9599999999991</v>
      </c>
      <c r="O265" t="s">
        <v>26</v>
      </c>
      <c r="P265">
        <v>1</v>
      </c>
      <c r="Q265">
        <v>80</v>
      </c>
      <c r="R265" t="s">
        <v>34</v>
      </c>
      <c r="S265">
        <v>3</v>
      </c>
      <c r="T265" t="s">
        <v>45</v>
      </c>
      <c r="U265" t="s">
        <v>29</v>
      </c>
    </row>
    <row r="266" spans="1:21" x14ac:dyDescent="0.25">
      <c r="A266" t="s">
        <v>570</v>
      </c>
      <c r="B266">
        <v>36</v>
      </c>
      <c r="C266" t="s">
        <v>22</v>
      </c>
      <c r="D266" t="s">
        <v>49</v>
      </c>
      <c r="E266">
        <v>191048</v>
      </c>
      <c r="F266">
        <v>2</v>
      </c>
      <c r="G266" t="s">
        <v>571</v>
      </c>
      <c r="H266">
        <v>1563083</v>
      </c>
      <c r="I266">
        <v>48</v>
      </c>
      <c r="J266">
        <v>15.46</v>
      </c>
      <c r="K266" t="s">
        <v>33</v>
      </c>
      <c r="L266">
        <v>2021267.23450491</v>
      </c>
      <c r="M266">
        <v>1498294.29012237</v>
      </c>
      <c r="N266">
        <v>31214.46</v>
      </c>
      <c r="O266" t="s">
        <v>26</v>
      </c>
      <c r="P266">
        <v>2</v>
      </c>
      <c r="Q266">
        <v>30</v>
      </c>
      <c r="R266" t="s">
        <v>34</v>
      </c>
      <c r="S266">
        <v>2</v>
      </c>
      <c r="T266" t="s">
        <v>45</v>
      </c>
      <c r="U266" t="s">
        <v>29</v>
      </c>
    </row>
    <row r="267" spans="1:21" x14ac:dyDescent="0.25">
      <c r="A267" t="s">
        <v>572</v>
      </c>
      <c r="B267">
        <v>23</v>
      </c>
      <c r="C267" t="s">
        <v>22</v>
      </c>
      <c r="D267" t="s">
        <v>49</v>
      </c>
      <c r="E267">
        <v>189668</v>
      </c>
      <c r="F267">
        <v>1</v>
      </c>
      <c r="G267" t="s">
        <v>573</v>
      </c>
      <c r="H267">
        <v>1294951</v>
      </c>
      <c r="I267">
        <v>72</v>
      </c>
      <c r="J267">
        <v>5.68</v>
      </c>
      <c r="K267" t="s">
        <v>25</v>
      </c>
      <c r="L267">
        <v>933023.57441139</v>
      </c>
      <c r="M267">
        <v>1138280.1853296401</v>
      </c>
      <c r="N267">
        <v>15809.45</v>
      </c>
      <c r="O267" t="s">
        <v>37</v>
      </c>
      <c r="P267">
        <v>3</v>
      </c>
      <c r="Q267">
        <v>137</v>
      </c>
      <c r="R267" t="s">
        <v>34</v>
      </c>
      <c r="S267">
        <v>0</v>
      </c>
      <c r="T267" t="s">
        <v>45</v>
      </c>
      <c r="U267" t="s">
        <v>29</v>
      </c>
    </row>
    <row r="268" spans="1:21" x14ac:dyDescent="0.25">
      <c r="A268" t="s">
        <v>574</v>
      </c>
      <c r="B268">
        <v>40</v>
      </c>
      <c r="C268" t="s">
        <v>22</v>
      </c>
      <c r="D268" t="s">
        <v>23</v>
      </c>
      <c r="E268">
        <v>169243</v>
      </c>
      <c r="F268">
        <v>1</v>
      </c>
      <c r="G268" t="s">
        <v>575</v>
      </c>
      <c r="H268">
        <v>126361</v>
      </c>
      <c r="I268">
        <v>48</v>
      </c>
      <c r="J268">
        <v>7.08</v>
      </c>
      <c r="K268" t="s">
        <v>44</v>
      </c>
      <c r="L268">
        <v>0</v>
      </c>
      <c r="M268">
        <v>78279.940181335594</v>
      </c>
      <c r="N268">
        <v>1630.83</v>
      </c>
      <c r="O268" t="s">
        <v>37</v>
      </c>
      <c r="P268">
        <v>2</v>
      </c>
      <c r="Q268">
        <v>176</v>
      </c>
      <c r="R268" t="s">
        <v>65</v>
      </c>
      <c r="S268">
        <v>5</v>
      </c>
      <c r="T268" t="s">
        <v>41</v>
      </c>
      <c r="U268" t="s">
        <v>79</v>
      </c>
    </row>
    <row r="269" spans="1:21" x14ac:dyDescent="0.25">
      <c r="A269" t="s">
        <v>576</v>
      </c>
      <c r="B269">
        <v>44</v>
      </c>
      <c r="C269" t="s">
        <v>22</v>
      </c>
      <c r="D269" t="s">
        <v>49</v>
      </c>
      <c r="E269">
        <v>246513</v>
      </c>
      <c r="F269">
        <v>0</v>
      </c>
      <c r="G269" t="s">
        <v>577</v>
      </c>
      <c r="H269">
        <v>1448949</v>
      </c>
      <c r="I269">
        <v>72</v>
      </c>
      <c r="J269">
        <v>9.36</v>
      </c>
      <c r="K269" t="s">
        <v>44</v>
      </c>
      <c r="L269">
        <v>0</v>
      </c>
      <c r="M269">
        <v>1023876.74457077</v>
      </c>
      <c r="N269">
        <v>14220.51</v>
      </c>
      <c r="O269" t="s">
        <v>26</v>
      </c>
      <c r="P269">
        <v>0</v>
      </c>
      <c r="Q269">
        <v>0</v>
      </c>
      <c r="R269" t="s">
        <v>34</v>
      </c>
      <c r="S269">
        <v>1</v>
      </c>
      <c r="T269" t="s">
        <v>38</v>
      </c>
      <c r="U269" t="s">
        <v>29</v>
      </c>
    </row>
    <row r="270" spans="1:21" x14ac:dyDescent="0.25">
      <c r="A270" t="s">
        <v>578</v>
      </c>
      <c r="B270">
        <v>53</v>
      </c>
      <c r="C270" t="s">
        <v>22</v>
      </c>
      <c r="D270" t="s">
        <v>23</v>
      </c>
      <c r="E270">
        <v>101365</v>
      </c>
      <c r="F270">
        <v>3</v>
      </c>
      <c r="G270" t="s">
        <v>579</v>
      </c>
      <c r="H270">
        <v>1233765</v>
      </c>
      <c r="I270">
        <v>48</v>
      </c>
      <c r="J270">
        <v>6</v>
      </c>
      <c r="K270" t="s">
        <v>33</v>
      </c>
      <c r="L270">
        <v>846315.29937157803</v>
      </c>
      <c r="M270">
        <v>141876.09567415799</v>
      </c>
      <c r="N270">
        <v>2955.75</v>
      </c>
      <c r="O270" t="s">
        <v>26</v>
      </c>
      <c r="P270">
        <v>0</v>
      </c>
      <c r="Q270">
        <v>0</v>
      </c>
      <c r="R270" t="s">
        <v>34</v>
      </c>
      <c r="S270">
        <v>3</v>
      </c>
      <c r="T270" t="s">
        <v>45</v>
      </c>
      <c r="U270" t="s">
        <v>29</v>
      </c>
    </row>
    <row r="271" spans="1:21" x14ac:dyDescent="0.25">
      <c r="A271" t="s">
        <v>580</v>
      </c>
      <c r="B271">
        <v>44</v>
      </c>
      <c r="C271" t="s">
        <v>31</v>
      </c>
      <c r="D271" t="s">
        <v>23</v>
      </c>
      <c r="E271">
        <v>245662</v>
      </c>
      <c r="F271">
        <v>2</v>
      </c>
      <c r="G271" t="s">
        <v>581</v>
      </c>
      <c r="H271">
        <v>1713129</v>
      </c>
      <c r="I271">
        <v>72</v>
      </c>
      <c r="J271">
        <v>8.0500000000000007</v>
      </c>
      <c r="K271" t="s">
        <v>44</v>
      </c>
      <c r="L271">
        <v>0</v>
      </c>
      <c r="M271">
        <v>693903.41164312104</v>
      </c>
      <c r="N271">
        <v>9637.5499999999993</v>
      </c>
      <c r="O271" t="s">
        <v>26</v>
      </c>
      <c r="P271">
        <v>3</v>
      </c>
      <c r="Q271">
        <v>47</v>
      </c>
      <c r="R271" t="s">
        <v>34</v>
      </c>
      <c r="S271">
        <v>3</v>
      </c>
      <c r="T271" t="s">
        <v>28</v>
      </c>
      <c r="U271" t="s">
        <v>29</v>
      </c>
    </row>
    <row r="272" spans="1:21" x14ac:dyDescent="0.25">
      <c r="A272" t="s">
        <v>582</v>
      </c>
      <c r="B272">
        <v>31</v>
      </c>
      <c r="C272" t="s">
        <v>22</v>
      </c>
      <c r="D272" t="s">
        <v>23</v>
      </c>
      <c r="E272">
        <v>129014</v>
      </c>
      <c r="F272">
        <v>0</v>
      </c>
      <c r="G272" t="s">
        <v>583</v>
      </c>
      <c r="H272">
        <v>572154</v>
      </c>
      <c r="I272">
        <v>60</v>
      </c>
      <c r="J272">
        <v>15.79</v>
      </c>
      <c r="K272" t="s">
        <v>33</v>
      </c>
      <c r="L272">
        <v>830091.69954582595</v>
      </c>
      <c r="M272">
        <v>466931.56525247998</v>
      </c>
      <c r="N272">
        <v>7782.19</v>
      </c>
      <c r="O272" t="s">
        <v>26</v>
      </c>
      <c r="P272">
        <v>0</v>
      </c>
      <c r="Q272">
        <v>0</v>
      </c>
      <c r="R272" t="s">
        <v>34</v>
      </c>
      <c r="S272">
        <v>1</v>
      </c>
      <c r="T272" t="s">
        <v>45</v>
      </c>
      <c r="U272" t="s">
        <v>29</v>
      </c>
    </row>
    <row r="273" spans="1:21" x14ac:dyDescent="0.25">
      <c r="A273" t="s">
        <v>584</v>
      </c>
      <c r="B273">
        <v>28</v>
      </c>
      <c r="C273" t="s">
        <v>22</v>
      </c>
      <c r="D273" t="s">
        <v>23</v>
      </c>
      <c r="E273">
        <v>190211</v>
      </c>
      <c r="F273">
        <v>0</v>
      </c>
      <c r="G273" t="s">
        <v>585</v>
      </c>
      <c r="H273">
        <v>672006</v>
      </c>
      <c r="I273">
        <v>36</v>
      </c>
      <c r="J273">
        <v>17.329999999999998</v>
      </c>
      <c r="K273" t="s">
        <v>44</v>
      </c>
      <c r="L273">
        <v>0</v>
      </c>
      <c r="M273">
        <v>114062.720957693</v>
      </c>
      <c r="N273">
        <v>3168.41</v>
      </c>
      <c r="O273" t="s">
        <v>26</v>
      </c>
      <c r="P273">
        <v>0</v>
      </c>
      <c r="Q273">
        <v>0</v>
      </c>
      <c r="R273" t="s">
        <v>34</v>
      </c>
      <c r="S273">
        <v>2</v>
      </c>
      <c r="T273" t="s">
        <v>38</v>
      </c>
      <c r="U273" t="s">
        <v>29</v>
      </c>
    </row>
    <row r="274" spans="1:21" x14ac:dyDescent="0.25">
      <c r="A274" t="s">
        <v>586</v>
      </c>
      <c r="B274">
        <v>56</v>
      </c>
      <c r="C274" t="s">
        <v>31</v>
      </c>
      <c r="D274" t="s">
        <v>23</v>
      </c>
      <c r="E274">
        <v>194785</v>
      </c>
      <c r="F274">
        <v>1</v>
      </c>
      <c r="G274" t="s">
        <v>587</v>
      </c>
      <c r="H274">
        <v>1421430</v>
      </c>
      <c r="I274">
        <v>72</v>
      </c>
      <c r="J274">
        <v>8.9600000000000009</v>
      </c>
      <c r="K274" t="s">
        <v>25</v>
      </c>
      <c r="L274">
        <v>1009069.78762276</v>
      </c>
      <c r="M274">
        <v>503303.41802593</v>
      </c>
      <c r="N274">
        <v>6990.33</v>
      </c>
      <c r="O274" t="s">
        <v>26</v>
      </c>
      <c r="P274">
        <v>1</v>
      </c>
      <c r="Q274">
        <v>49</v>
      </c>
      <c r="R274" t="s">
        <v>34</v>
      </c>
      <c r="S274">
        <v>0</v>
      </c>
      <c r="T274" t="s">
        <v>28</v>
      </c>
      <c r="U274" t="s">
        <v>29</v>
      </c>
    </row>
    <row r="275" spans="1:21" x14ac:dyDescent="0.25">
      <c r="A275" t="s">
        <v>588</v>
      </c>
      <c r="B275">
        <v>58</v>
      </c>
      <c r="C275" t="s">
        <v>22</v>
      </c>
      <c r="D275" t="s">
        <v>58</v>
      </c>
      <c r="E275">
        <v>175806</v>
      </c>
      <c r="F275">
        <v>2</v>
      </c>
      <c r="G275" t="s">
        <v>589</v>
      </c>
      <c r="H275">
        <v>1061930</v>
      </c>
      <c r="I275">
        <v>24</v>
      </c>
      <c r="J275">
        <v>8.44</v>
      </c>
      <c r="K275" t="s">
        <v>44</v>
      </c>
      <c r="L275">
        <v>0</v>
      </c>
      <c r="M275">
        <v>665582.83482174994</v>
      </c>
      <c r="N275">
        <v>27732.62</v>
      </c>
      <c r="O275" t="s">
        <v>26</v>
      </c>
      <c r="P275">
        <v>2</v>
      </c>
      <c r="Q275">
        <v>55</v>
      </c>
      <c r="R275" t="s">
        <v>34</v>
      </c>
      <c r="S275">
        <v>2</v>
      </c>
      <c r="T275" t="s">
        <v>28</v>
      </c>
      <c r="U275" t="s">
        <v>29</v>
      </c>
    </row>
    <row r="276" spans="1:21" x14ac:dyDescent="0.25">
      <c r="A276" t="s">
        <v>590</v>
      </c>
      <c r="B276">
        <v>60</v>
      </c>
      <c r="C276" t="s">
        <v>22</v>
      </c>
      <c r="D276" t="s">
        <v>23</v>
      </c>
      <c r="E276">
        <v>87588</v>
      </c>
      <c r="F276">
        <v>2</v>
      </c>
      <c r="G276" t="s">
        <v>591</v>
      </c>
      <c r="H276">
        <v>1717740</v>
      </c>
      <c r="I276">
        <v>72</v>
      </c>
      <c r="J276">
        <v>8.64</v>
      </c>
      <c r="K276" t="s">
        <v>44</v>
      </c>
      <c r="L276">
        <v>0</v>
      </c>
      <c r="M276">
        <v>568179.82277962205</v>
      </c>
      <c r="N276">
        <v>7891.39</v>
      </c>
      <c r="O276" t="s">
        <v>26</v>
      </c>
      <c r="P276">
        <v>1</v>
      </c>
      <c r="Q276">
        <v>123</v>
      </c>
      <c r="R276" t="s">
        <v>65</v>
      </c>
      <c r="S276">
        <v>8</v>
      </c>
      <c r="T276" t="s">
        <v>28</v>
      </c>
      <c r="U276" t="s">
        <v>79</v>
      </c>
    </row>
    <row r="277" spans="1:21" x14ac:dyDescent="0.25">
      <c r="A277" t="s">
        <v>592</v>
      </c>
      <c r="B277">
        <v>40</v>
      </c>
      <c r="C277" t="s">
        <v>22</v>
      </c>
      <c r="D277" t="s">
        <v>49</v>
      </c>
      <c r="E277">
        <v>78646</v>
      </c>
      <c r="F277">
        <v>2</v>
      </c>
      <c r="G277" t="s">
        <v>593</v>
      </c>
      <c r="H277">
        <v>1034558</v>
      </c>
      <c r="I277">
        <v>48</v>
      </c>
      <c r="J277">
        <v>8.61</v>
      </c>
      <c r="K277" t="s">
        <v>64</v>
      </c>
      <c r="L277">
        <v>787214.40392571897</v>
      </c>
      <c r="M277">
        <v>973084.74647750496</v>
      </c>
      <c r="N277">
        <v>20272.599999999999</v>
      </c>
      <c r="O277" t="s">
        <v>26</v>
      </c>
      <c r="P277">
        <v>2</v>
      </c>
      <c r="Q277">
        <v>70</v>
      </c>
      <c r="R277" t="s">
        <v>34</v>
      </c>
      <c r="S277">
        <v>2</v>
      </c>
      <c r="T277" t="s">
        <v>41</v>
      </c>
      <c r="U277" t="s">
        <v>29</v>
      </c>
    </row>
    <row r="278" spans="1:21" x14ac:dyDescent="0.25">
      <c r="A278" t="s">
        <v>594</v>
      </c>
      <c r="B278">
        <v>55</v>
      </c>
      <c r="C278" t="s">
        <v>22</v>
      </c>
      <c r="D278" t="s">
        <v>23</v>
      </c>
      <c r="E278">
        <v>18654</v>
      </c>
      <c r="F278">
        <v>1</v>
      </c>
      <c r="G278" t="s">
        <v>595</v>
      </c>
      <c r="H278">
        <v>1129525</v>
      </c>
      <c r="I278">
        <v>12</v>
      </c>
      <c r="J278">
        <v>5.47</v>
      </c>
      <c r="K278" t="s">
        <v>33</v>
      </c>
      <c r="L278">
        <v>1659967.9433909201</v>
      </c>
      <c r="M278">
        <v>246183.09996329501</v>
      </c>
      <c r="N278">
        <v>20515.259999999998</v>
      </c>
      <c r="O278" t="s">
        <v>26</v>
      </c>
      <c r="P278">
        <v>0</v>
      </c>
      <c r="Q278">
        <v>0</v>
      </c>
      <c r="R278" t="s">
        <v>34</v>
      </c>
      <c r="S278">
        <v>0</v>
      </c>
      <c r="T278" t="s">
        <v>45</v>
      </c>
      <c r="U278" t="s">
        <v>29</v>
      </c>
    </row>
    <row r="279" spans="1:21" x14ac:dyDescent="0.25">
      <c r="A279" t="s">
        <v>596</v>
      </c>
      <c r="B279">
        <v>45</v>
      </c>
      <c r="C279" t="s">
        <v>22</v>
      </c>
      <c r="D279" t="s">
        <v>49</v>
      </c>
      <c r="E279">
        <v>235094</v>
      </c>
      <c r="F279">
        <v>1</v>
      </c>
      <c r="G279" t="s">
        <v>597</v>
      </c>
      <c r="H279">
        <v>1835818</v>
      </c>
      <c r="I279">
        <v>48</v>
      </c>
      <c r="J279">
        <v>17.05</v>
      </c>
      <c r="K279" t="s">
        <v>25</v>
      </c>
      <c r="L279">
        <v>2266700.2180467998</v>
      </c>
      <c r="M279">
        <v>1501065.62381099</v>
      </c>
      <c r="N279">
        <v>31272.2</v>
      </c>
      <c r="O279" t="s">
        <v>26</v>
      </c>
      <c r="P279">
        <v>1</v>
      </c>
      <c r="Q279">
        <v>150</v>
      </c>
      <c r="R279" t="s">
        <v>34</v>
      </c>
      <c r="S279">
        <v>3</v>
      </c>
      <c r="T279" t="s">
        <v>41</v>
      </c>
      <c r="U279" t="s">
        <v>29</v>
      </c>
    </row>
    <row r="280" spans="1:21" x14ac:dyDescent="0.25">
      <c r="A280" t="s">
        <v>598</v>
      </c>
      <c r="B280">
        <v>55</v>
      </c>
      <c r="C280" t="s">
        <v>31</v>
      </c>
      <c r="D280" t="s">
        <v>58</v>
      </c>
      <c r="E280">
        <v>33743</v>
      </c>
      <c r="F280">
        <v>1</v>
      </c>
      <c r="G280" t="s">
        <v>599</v>
      </c>
      <c r="H280">
        <v>904568</v>
      </c>
      <c r="I280">
        <v>72</v>
      </c>
      <c r="J280">
        <v>7.78</v>
      </c>
      <c r="K280" t="s">
        <v>25</v>
      </c>
      <c r="L280">
        <v>1085116.6366840301</v>
      </c>
      <c r="M280">
        <v>503983.51910635602</v>
      </c>
      <c r="N280">
        <v>6999.77</v>
      </c>
      <c r="O280" t="s">
        <v>26</v>
      </c>
      <c r="P280">
        <v>2</v>
      </c>
      <c r="Q280">
        <v>134</v>
      </c>
      <c r="R280" t="s">
        <v>34</v>
      </c>
      <c r="S280">
        <v>2</v>
      </c>
      <c r="T280" t="s">
        <v>28</v>
      </c>
      <c r="U280" t="s">
        <v>29</v>
      </c>
    </row>
    <row r="281" spans="1:21" x14ac:dyDescent="0.25">
      <c r="A281" t="s">
        <v>600</v>
      </c>
      <c r="B281">
        <v>45</v>
      </c>
      <c r="C281" t="s">
        <v>31</v>
      </c>
      <c r="D281" t="s">
        <v>23</v>
      </c>
      <c r="E281">
        <v>63368</v>
      </c>
      <c r="F281">
        <v>1</v>
      </c>
      <c r="G281" t="s">
        <v>601</v>
      </c>
      <c r="H281">
        <v>1210117</v>
      </c>
      <c r="I281">
        <v>12</v>
      </c>
      <c r="J281">
        <v>10.46</v>
      </c>
      <c r="K281" t="s">
        <v>25</v>
      </c>
      <c r="L281">
        <v>1637199.2168509499</v>
      </c>
      <c r="M281">
        <v>938200.92469862604</v>
      </c>
      <c r="N281">
        <v>78183.41</v>
      </c>
      <c r="O281" t="s">
        <v>26</v>
      </c>
      <c r="P281">
        <v>2</v>
      </c>
      <c r="Q281">
        <v>152</v>
      </c>
      <c r="R281" t="s">
        <v>27</v>
      </c>
      <c r="S281">
        <v>3</v>
      </c>
      <c r="T281" t="s">
        <v>41</v>
      </c>
      <c r="U281" t="s">
        <v>29</v>
      </c>
    </row>
    <row r="282" spans="1:21" x14ac:dyDescent="0.25">
      <c r="A282" t="s">
        <v>602</v>
      </c>
      <c r="B282">
        <v>49</v>
      </c>
      <c r="C282" t="s">
        <v>22</v>
      </c>
      <c r="D282" t="s">
        <v>49</v>
      </c>
      <c r="E282">
        <v>236097</v>
      </c>
      <c r="F282">
        <v>1</v>
      </c>
      <c r="G282" t="s">
        <v>603</v>
      </c>
      <c r="H282">
        <v>1818555</v>
      </c>
      <c r="I282">
        <v>48</v>
      </c>
      <c r="J282">
        <v>5.13</v>
      </c>
      <c r="K282" t="s">
        <v>25</v>
      </c>
      <c r="L282">
        <v>1119908.14531713</v>
      </c>
      <c r="M282">
        <v>690403.12248968205</v>
      </c>
      <c r="N282">
        <v>14383.4</v>
      </c>
      <c r="O282" t="s">
        <v>26</v>
      </c>
      <c r="P282">
        <v>1</v>
      </c>
      <c r="Q282">
        <v>72</v>
      </c>
      <c r="R282" t="s">
        <v>34</v>
      </c>
      <c r="S282">
        <v>0</v>
      </c>
      <c r="T282" t="s">
        <v>41</v>
      </c>
      <c r="U282" t="s">
        <v>29</v>
      </c>
    </row>
    <row r="283" spans="1:21" x14ac:dyDescent="0.25">
      <c r="A283" t="s">
        <v>604</v>
      </c>
      <c r="B283">
        <v>38</v>
      </c>
      <c r="C283" t="s">
        <v>22</v>
      </c>
      <c r="D283" t="s">
        <v>23</v>
      </c>
      <c r="E283">
        <v>220244</v>
      </c>
      <c r="F283">
        <v>3</v>
      </c>
      <c r="G283" t="s">
        <v>605</v>
      </c>
      <c r="H283">
        <v>111842</v>
      </c>
      <c r="I283">
        <v>60</v>
      </c>
      <c r="J283">
        <v>16.149999999999999</v>
      </c>
      <c r="K283" t="s">
        <v>25</v>
      </c>
      <c r="L283">
        <v>134876.55741158099</v>
      </c>
      <c r="M283">
        <v>62971.591491604697</v>
      </c>
      <c r="N283">
        <v>1049.53</v>
      </c>
      <c r="O283" t="s">
        <v>26</v>
      </c>
      <c r="P283">
        <v>3</v>
      </c>
      <c r="Q283">
        <v>25</v>
      </c>
      <c r="R283" t="s">
        <v>34</v>
      </c>
      <c r="S283">
        <v>3</v>
      </c>
      <c r="T283" t="s">
        <v>41</v>
      </c>
      <c r="U283" t="s">
        <v>29</v>
      </c>
    </row>
    <row r="284" spans="1:21" x14ac:dyDescent="0.25">
      <c r="A284" t="s">
        <v>606</v>
      </c>
      <c r="B284">
        <v>38</v>
      </c>
      <c r="C284" t="s">
        <v>22</v>
      </c>
      <c r="D284" t="s">
        <v>49</v>
      </c>
      <c r="E284">
        <v>152513</v>
      </c>
      <c r="F284">
        <v>3</v>
      </c>
      <c r="G284" t="s">
        <v>607</v>
      </c>
      <c r="H284">
        <v>538019</v>
      </c>
      <c r="I284">
        <v>60</v>
      </c>
      <c r="J284">
        <v>14.51</v>
      </c>
      <c r="K284" t="s">
        <v>44</v>
      </c>
      <c r="L284">
        <v>0</v>
      </c>
      <c r="M284">
        <v>468696.22822044202</v>
      </c>
      <c r="N284">
        <v>7811.6</v>
      </c>
      <c r="O284" t="s">
        <v>26</v>
      </c>
      <c r="P284">
        <v>2</v>
      </c>
      <c r="Q284">
        <v>49</v>
      </c>
      <c r="R284" t="s">
        <v>27</v>
      </c>
      <c r="S284">
        <v>1</v>
      </c>
      <c r="T284" t="s">
        <v>45</v>
      </c>
      <c r="U284" t="s">
        <v>29</v>
      </c>
    </row>
    <row r="285" spans="1:21" x14ac:dyDescent="0.25">
      <c r="A285" t="s">
        <v>608</v>
      </c>
      <c r="B285">
        <v>22</v>
      </c>
      <c r="C285" t="s">
        <v>31</v>
      </c>
      <c r="D285" t="s">
        <v>23</v>
      </c>
      <c r="E285">
        <v>134735</v>
      </c>
      <c r="F285">
        <v>2</v>
      </c>
      <c r="G285" t="s">
        <v>609</v>
      </c>
      <c r="H285">
        <v>1331506</v>
      </c>
      <c r="I285">
        <v>36</v>
      </c>
      <c r="J285">
        <v>17.309999999999999</v>
      </c>
      <c r="K285" t="s">
        <v>25</v>
      </c>
      <c r="L285">
        <v>1336417.40545221</v>
      </c>
      <c r="M285">
        <v>692636.49122590804</v>
      </c>
      <c r="N285">
        <v>19239.900000000001</v>
      </c>
      <c r="O285" t="s">
        <v>26</v>
      </c>
      <c r="P285">
        <v>0</v>
      </c>
      <c r="Q285">
        <v>0</v>
      </c>
      <c r="R285" t="s">
        <v>34</v>
      </c>
      <c r="S285">
        <v>1</v>
      </c>
      <c r="T285" t="s">
        <v>28</v>
      </c>
      <c r="U285" t="s">
        <v>29</v>
      </c>
    </row>
    <row r="286" spans="1:21" x14ac:dyDescent="0.25">
      <c r="A286" t="s">
        <v>610</v>
      </c>
      <c r="B286">
        <v>55</v>
      </c>
      <c r="C286" t="s">
        <v>22</v>
      </c>
      <c r="D286" t="s">
        <v>58</v>
      </c>
      <c r="E286">
        <v>170683</v>
      </c>
      <c r="F286">
        <v>0</v>
      </c>
      <c r="G286" t="s">
        <v>611</v>
      </c>
      <c r="H286">
        <v>339134</v>
      </c>
      <c r="I286">
        <v>24</v>
      </c>
      <c r="J286">
        <v>15.16</v>
      </c>
      <c r="K286" t="s">
        <v>33</v>
      </c>
      <c r="L286">
        <v>450760.173242121</v>
      </c>
      <c r="M286">
        <v>143707.31208417</v>
      </c>
      <c r="N286">
        <v>5987.8</v>
      </c>
      <c r="O286" t="s">
        <v>26</v>
      </c>
      <c r="P286">
        <v>2</v>
      </c>
      <c r="Q286">
        <v>75</v>
      </c>
      <c r="R286" t="s">
        <v>34</v>
      </c>
      <c r="S286">
        <v>0</v>
      </c>
      <c r="T286" t="s">
        <v>28</v>
      </c>
      <c r="U286" t="s">
        <v>29</v>
      </c>
    </row>
    <row r="287" spans="1:21" x14ac:dyDescent="0.25">
      <c r="A287" t="s">
        <v>612</v>
      </c>
      <c r="B287">
        <v>36</v>
      </c>
      <c r="C287" t="s">
        <v>22</v>
      </c>
      <c r="D287" t="s">
        <v>23</v>
      </c>
      <c r="E287">
        <v>134891</v>
      </c>
      <c r="F287">
        <v>2</v>
      </c>
      <c r="G287" t="s">
        <v>613</v>
      </c>
      <c r="H287">
        <v>721553</v>
      </c>
      <c r="I287">
        <v>12</v>
      </c>
      <c r="J287">
        <v>9.08</v>
      </c>
      <c r="K287" t="s">
        <v>64</v>
      </c>
      <c r="L287">
        <v>727427.68152802705</v>
      </c>
      <c r="M287">
        <v>420333.37467513798</v>
      </c>
      <c r="N287">
        <v>35027.78</v>
      </c>
      <c r="O287" t="s">
        <v>26</v>
      </c>
      <c r="P287">
        <v>0</v>
      </c>
      <c r="Q287">
        <v>0</v>
      </c>
      <c r="R287" t="s">
        <v>34</v>
      </c>
      <c r="S287">
        <v>0</v>
      </c>
      <c r="T287" t="s">
        <v>45</v>
      </c>
      <c r="U287" t="s">
        <v>29</v>
      </c>
    </row>
    <row r="288" spans="1:21" x14ac:dyDescent="0.25">
      <c r="A288" t="s">
        <v>614</v>
      </c>
      <c r="B288">
        <v>61</v>
      </c>
      <c r="C288" t="s">
        <v>22</v>
      </c>
      <c r="D288" t="s">
        <v>23</v>
      </c>
      <c r="E288">
        <v>122971</v>
      </c>
      <c r="F288">
        <v>0</v>
      </c>
      <c r="G288" t="s">
        <v>615</v>
      </c>
      <c r="H288">
        <v>1390829</v>
      </c>
      <c r="I288">
        <v>48</v>
      </c>
      <c r="J288">
        <v>8.2200000000000006</v>
      </c>
      <c r="K288" t="s">
        <v>44</v>
      </c>
      <c r="L288">
        <v>0</v>
      </c>
      <c r="M288">
        <v>1037038.92839854</v>
      </c>
      <c r="N288">
        <v>21604.98</v>
      </c>
      <c r="O288" t="s">
        <v>26</v>
      </c>
      <c r="P288">
        <v>1</v>
      </c>
      <c r="Q288">
        <v>58</v>
      </c>
      <c r="R288" t="s">
        <v>34</v>
      </c>
      <c r="S288">
        <v>2</v>
      </c>
      <c r="T288" t="s">
        <v>41</v>
      </c>
      <c r="U288" t="s">
        <v>29</v>
      </c>
    </row>
    <row r="289" spans="1:21" x14ac:dyDescent="0.25">
      <c r="A289" t="s">
        <v>616</v>
      </c>
      <c r="B289">
        <v>56</v>
      </c>
      <c r="C289" t="s">
        <v>22</v>
      </c>
      <c r="D289" t="s">
        <v>49</v>
      </c>
      <c r="E289">
        <v>27149</v>
      </c>
      <c r="F289">
        <v>1</v>
      </c>
      <c r="G289" t="s">
        <v>617</v>
      </c>
      <c r="H289">
        <v>180356</v>
      </c>
      <c r="I289">
        <v>48</v>
      </c>
      <c r="J289">
        <v>14.07</v>
      </c>
      <c r="K289" t="s">
        <v>33</v>
      </c>
      <c r="L289">
        <v>202042.24969052401</v>
      </c>
      <c r="M289">
        <v>90034.979666655199</v>
      </c>
      <c r="N289">
        <v>1875.73</v>
      </c>
      <c r="O289" t="s">
        <v>37</v>
      </c>
      <c r="P289">
        <v>2</v>
      </c>
      <c r="Q289">
        <v>92</v>
      </c>
      <c r="R289" t="s">
        <v>34</v>
      </c>
      <c r="S289">
        <v>1</v>
      </c>
      <c r="T289" t="s">
        <v>41</v>
      </c>
      <c r="U289" t="s">
        <v>29</v>
      </c>
    </row>
    <row r="290" spans="1:21" x14ac:dyDescent="0.25">
      <c r="A290" t="s">
        <v>618</v>
      </c>
      <c r="B290">
        <v>53</v>
      </c>
      <c r="C290" t="s">
        <v>31</v>
      </c>
      <c r="D290" t="s">
        <v>23</v>
      </c>
      <c r="E290">
        <v>115102</v>
      </c>
      <c r="F290">
        <v>0</v>
      </c>
      <c r="G290" t="s">
        <v>619</v>
      </c>
      <c r="H290">
        <v>818917</v>
      </c>
      <c r="I290">
        <v>72</v>
      </c>
      <c r="J290">
        <v>9.73</v>
      </c>
      <c r="K290" t="s">
        <v>25</v>
      </c>
      <c r="L290">
        <v>800689.64892472897</v>
      </c>
      <c r="M290">
        <v>773867.784267326</v>
      </c>
      <c r="N290">
        <v>10748.16</v>
      </c>
      <c r="O290" t="s">
        <v>26</v>
      </c>
      <c r="P290">
        <v>0</v>
      </c>
      <c r="Q290">
        <v>0</v>
      </c>
      <c r="R290" t="s">
        <v>34</v>
      </c>
      <c r="S290">
        <v>1</v>
      </c>
      <c r="T290" t="s">
        <v>38</v>
      </c>
      <c r="U290" t="s">
        <v>29</v>
      </c>
    </row>
    <row r="291" spans="1:21" x14ac:dyDescent="0.25">
      <c r="A291" t="s">
        <v>620</v>
      </c>
      <c r="B291">
        <v>24</v>
      </c>
      <c r="C291" t="s">
        <v>22</v>
      </c>
      <c r="D291" t="s">
        <v>23</v>
      </c>
      <c r="E291">
        <v>74189</v>
      </c>
      <c r="F291">
        <v>2</v>
      </c>
      <c r="G291" t="s">
        <v>621</v>
      </c>
      <c r="H291">
        <v>787090</v>
      </c>
      <c r="I291">
        <v>12</v>
      </c>
      <c r="J291">
        <v>12.36</v>
      </c>
      <c r="K291" t="s">
        <v>25</v>
      </c>
      <c r="L291">
        <v>769899.10714156902</v>
      </c>
      <c r="M291">
        <v>287643.01778093801</v>
      </c>
      <c r="N291">
        <v>23970.25</v>
      </c>
      <c r="O291" t="s">
        <v>26</v>
      </c>
      <c r="P291">
        <v>0</v>
      </c>
      <c r="Q291">
        <v>0</v>
      </c>
      <c r="R291" t="s">
        <v>34</v>
      </c>
      <c r="S291">
        <v>1</v>
      </c>
      <c r="T291" t="s">
        <v>38</v>
      </c>
      <c r="U291" t="s">
        <v>29</v>
      </c>
    </row>
    <row r="292" spans="1:21" x14ac:dyDescent="0.25">
      <c r="A292" t="s">
        <v>622</v>
      </c>
      <c r="B292">
        <v>53</v>
      </c>
      <c r="C292" t="s">
        <v>31</v>
      </c>
      <c r="D292" t="s">
        <v>23</v>
      </c>
      <c r="E292">
        <v>167747</v>
      </c>
      <c r="F292">
        <v>2</v>
      </c>
      <c r="G292" t="s">
        <v>623</v>
      </c>
      <c r="H292">
        <v>964565</v>
      </c>
      <c r="I292">
        <v>60</v>
      </c>
      <c r="J292">
        <v>5.08</v>
      </c>
      <c r="K292" t="s">
        <v>44</v>
      </c>
      <c r="L292">
        <v>0</v>
      </c>
      <c r="M292">
        <v>509210.49795606598</v>
      </c>
      <c r="N292">
        <v>8486.84</v>
      </c>
      <c r="O292" t="s">
        <v>37</v>
      </c>
      <c r="P292">
        <v>1</v>
      </c>
      <c r="Q292">
        <v>45</v>
      </c>
      <c r="R292" t="s">
        <v>27</v>
      </c>
      <c r="S292">
        <v>1</v>
      </c>
      <c r="T292" t="s">
        <v>38</v>
      </c>
      <c r="U292" t="s">
        <v>29</v>
      </c>
    </row>
    <row r="293" spans="1:21" x14ac:dyDescent="0.25">
      <c r="A293" t="s">
        <v>624</v>
      </c>
      <c r="B293">
        <v>34</v>
      </c>
      <c r="C293" t="s">
        <v>22</v>
      </c>
      <c r="D293" t="s">
        <v>23</v>
      </c>
      <c r="E293">
        <v>86031</v>
      </c>
      <c r="F293">
        <v>0</v>
      </c>
      <c r="G293" t="s">
        <v>625</v>
      </c>
      <c r="H293">
        <v>1788446</v>
      </c>
      <c r="I293">
        <v>12</v>
      </c>
      <c r="J293">
        <v>5.8</v>
      </c>
      <c r="K293" t="s">
        <v>25</v>
      </c>
      <c r="L293">
        <v>2267695.8353847698</v>
      </c>
      <c r="M293">
        <v>1397196.42017471</v>
      </c>
      <c r="N293">
        <v>116433.04</v>
      </c>
      <c r="O293" t="s">
        <v>26</v>
      </c>
      <c r="P293">
        <v>2</v>
      </c>
      <c r="Q293">
        <v>77</v>
      </c>
      <c r="R293" t="s">
        <v>34</v>
      </c>
      <c r="S293">
        <v>1</v>
      </c>
      <c r="T293" t="s">
        <v>45</v>
      </c>
      <c r="U293" t="s">
        <v>29</v>
      </c>
    </row>
    <row r="294" spans="1:21" x14ac:dyDescent="0.25">
      <c r="A294" t="s">
        <v>626</v>
      </c>
      <c r="B294">
        <v>41</v>
      </c>
      <c r="C294" t="s">
        <v>31</v>
      </c>
      <c r="D294" t="s">
        <v>23</v>
      </c>
      <c r="E294">
        <v>57668</v>
      </c>
      <c r="F294">
        <v>3</v>
      </c>
      <c r="G294" t="s">
        <v>627</v>
      </c>
      <c r="H294">
        <v>837738</v>
      </c>
      <c r="I294">
        <v>24</v>
      </c>
      <c r="J294">
        <v>11.96</v>
      </c>
      <c r="K294" t="s">
        <v>44</v>
      </c>
      <c r="L294">
        <v>0</v>
      </c>
      <c r="M294">
        <v>603346.431698762</v>
      </c>
      <c r="N294">
        <v>25139.43</v>
      </c>
      <c r="O294" t="s">
        <v>26</v>
      </c>
      <c r="P294">
        <v>2</v>
      </c>
      <c r="Q294">
        <v>3</v>
      </c>
      <c r="R294" t="s">
        <v>34</v>
      </c>
      <c r="S294">
        <v>1</v>
      </c>
      <c r="T294" t="s">
        <v>28</v>
      </c>
      <c r="U294" t="s">
        <v>29</v>
      </c>
    </row>
    <row r="295" spans="1:21" x14ac:dyDescent="0.25">
      <c r="A295" t="s">
        <v>628</v>
      </c>
      <c r="B295">
        <v>40</v>
      </c>
      <c r="C295" t="s">
        <v>22</v>
      </c>
      <c r="D295" t="s">
        <v>23</v>
      </c>
      <c r="E295">
        <v>159745</v>
      </c>
      <c r="F295">
        <v>1</v>
      </c>
      <c r="G295" t="s">
        <v>629</v>
      </c>
      <c r="H295">
        <v>1102425</v>
      </c>
      <c r="I295">
        <v>48</v>
      </c>
      <c r="J295">
        <v>12.36</v>
      </c>
      <c r="K295" t="s">
        <v>44</v>
      </c>
      <c r="L295">
        <v>0</v>
      </c>
      <c r="M295">
        <v>967132.03848988505</v>
      </c>
      <c r="N295">
        <v>20148.580000000002</v>
      </c>
      <c r="O295" t="s">
        <v>37</v>
      </c>
      <c r="P295">
        <v>1</v>
      </c>
      <c r="Q295">
        <v>136</v>
      </c>
      <c r="R295" t="s">
        <v>34</v>
      </c>
      <c r="S295">
        <v>1</v>
      </c>
      <c r="T295" t="s">
        <v>38</v>
      </c>
      <c r="U295" t="s">
        <v>29</v>
      </c>
    </row>
    <row r="296" spans="1:21" x14ac:dyDescent="0.25">
      <c r="A296" t="s">
        <v>630</v>
      </c>
      <c r="B296">
        <v>28</v>
      </c>
      <c r="C296" t="s">
        <v>22</v>
      </c>
      <c r="D296" t="s">
        <v>23</v>
      </c>
      <c r="E296">
        <v>222738</v>
      </c>
      <c r="F296">
        <v>1</v>
      </c>
      <c r="G296" t="s">
        <v>631</v>
      </c>
      <c r="H296">
        <v>62360</v>
      </c>
      <c r="I296">
        <v>48</v>
      </c>
      <c r="J296">
        <v>14.77</v>
      </c>
      <c r="K296" t="s">
        <v>33</v>
      </c>
      <c r="L296">
        <v>70377.400744364597</v>
      </c>
      <c r="M296">
        <v>62180.918456546598</v>
      </c>
      <c r="N296">
        <v>1295.44</v>
      </c>
      <c r="O296" t="s">
        <v>37</v>
      </c>
      <c r="P296">
        <v>2</v>
      </c>
      <c r="Q296">
        <v>32</v>
      </c>
      <c r="R296" t="s">
        <v>34</v>
      </c>
      <c r="S296">
        <v>2</v>
      </c>
      <c r="T296" t="s">
        <v>28</v>
      </c>
      <c r="U296" t="s">
        <v>29</v>
      </c>
    </row>
    <row r="297" spans="1:21" x14ac:dyDescent="0.25">
      <c r="A297" t="s">
        <v>632</v>
      </c>
      <c r="B297">
        <v>27</v>
      </c>
      <c r="C297" t="s">
        <v>31</v>
      </c>
      <c r="D297" t="s">
        <v>23</v>
      </c>
      <c r="E297">
        <v>103204</v>
      </c>
      <c r="F297">
        <v>2</v>
      </c>
      <c r="G297" t="s">
        <v>633</v>
      </c>
      <c r="H297">
        <v>423216</v>
      </c>
      <c r="I297">
        <v>60</v>
      </c>
      <c r="J297">
        <v>6.72</v>
      </c>
      <c r="K297" t="s">
        <v>33</v>
      </c>
      <c r="L297">
        <v>479615.11913232802</v>
      </c>
      <c r="M297">
        <v>204909.547031408</v>
      </c>
      <c r="N297">
        <v>3415.16</v>
      </c>
      <c r="O297" t="s">
        <v>26</v>
      </c>
      <c r="P297">
        <v>1</v>
      </c>
      <c r="Q297">
        <v>70</v>
      </c>
      <c r="R297" t="s">
        <v>34</v>
      </c>
      <c r="S297">
        <v>1</v>
      </c>
      <c r="T297" t="s">
        <v>28</v>
      </c>
      <c r="U297" t="s">
        <v>29</v>
      </c>
    </row>
    <row r="298" spans="1:21" x14ac:dyDescent="0.25">
      <c r="A298" t="s">
        <v>634</v>
      </c>
      <c r="B298">
        <v>23</v>
      </c>
      <c r="C298" t="s">
        <v>31</v>
      </c>
      <c r="D298" t="s">
        <v>49</v>
      </c>
      <c r="E298">
        <v>226830</v>
      </c>
      <c r="F298">
        <v>3</v>
      </c>
      <c r="G298" t="s">
        <v>635</v>
      </c>
      <c r="H298">
        <v>827567</v>
      </c>
      <c r="I298">
        <v>72</v>
      </c>
      <c r="J298">
        <v>11.67</v>
      </c>
      <c r="K298" t="s">
        <v>25</v>
      </c>
      <c r="L298">
        <v>786422.42429700401</v>
      </c>
      <c r="M298">
        <v>165543.02011667201</v>
      </c>
      <c r="N298">
        <v>2299.21</v>
      </c>
      <c r="O298" t="s">
        <v>26</v>
      </c>
      <c r="P298">
        <v>2</v>
      </c>
      <c r="Q298">
        <v>11</v>
      </c>
      <c r="R298" t="s">
        <v>65</v>
      </c>
      <c r="S298">
        <v>9</v>
      </c>
      <c r="T298" t="s">
        <v>28</v>
      </c>
      <c r="U298" t="s">
        <v>79</v>
      </c>
    </row>
    <row r="299" spans="1:21" x14ac:dyDescent="0.25">
      <c r="A299" t="s">
        <v>636</v>
      </c>
      <c r="B299">
        <v>37</v>
      </c>
      <c r="C299" t="s">
        <v>31</v>
      </c>
      <c r="D299" t="s">
        <v>23</v>
      </c>
      <c r="E299">
        <v>211501</v>
      </c>
      <c r="F299">
        <v>0</v>
      </c>
      <c r="G299" t="s">
        <v>637</v>
      </c>
      <c r="H299">
        <v>669055</v>
      </c>
      <c r="I299">
        <v>48</v>
      </c>
      <c r="J299">
        <v>7.53</v>
      </c>
      <c r="K299" t="s">
        <v>64</v>
      </c>
      <c r="L299">
        <v>689868.96407210501</v>
      </c>
      <c r="M299">
        <v>85220.407420577496</v>
      </c>
      <c r="N299">
        <v>1775.43</v>
      </c>
      <c r="O299" t="s">
        <v>26</v>
      </c>
      <c r="P299">
        <v>3</v>
      </c>
      <c r="Q299">
        <v>13</v>
      </c>
      <c r="R299" t="s">
        <v>27</v>
      </c>
      <c r="S299">
        <v>0</v>
      </c>
      <c r="T299" t="s">
        <v>45</v>
      </c>
      <c r="U299" t="s">
        <v>29</v>
      </c>
    </row>
    <row r="300" spans="1:21" x14ac:dyDescent="0.25">
      <c r="A300" t="s">
        <v>638</v>
      </c>
      <c r="B300">
        <v>53</v>
      </c>
      <c r="C300" t="s">
        <v>22</v>
      </c>
      <c r="D300" t="s">
        <v>23</v>
      </c>
      <c r="E300">
        <v>169741</v>
      </c>
      <c r="F300">
        <v>1</v>
      </c>
      <c r="G300" t="s">
        <v>639</v>
      </c>
      <c r="H300">
        <v>311445</v>
      </c>
      <c r="I300">
        <v>72</v>
      </c>
      <c r="J300">
        <v>6.21</v>
      </c>
      <c r="K300" t="s">
        <v>44</v>
      </c>
      <c r="L300">
        <v>0</v>
      </c>
      <c r="M300">
        <v>234888.46022943099</v>
      </c>
      <c r="N300">
        <v>3262.34</v>
      </c>
      <c r="O300" t="s">
        <v>26</v>
      </c>
      <c r="P300">
        <v>2</v>
      </c>
      <c r="Q300">
        <v>141</v>
      </c>
      <c r="R300" t="s">
        <v>65</v>
      </c>
      <c r="S300">
        <v>4</v>
      </c>
      <c r="T300" t="s">
        <v>45</v>
      </c>
      <c r="U300" t="s">
        <v>79</v>
      </c>
    </row>
    <row r="301" spans="1:21" x14ac:dyDescent="0.25">
      <c r="A301" t="s">
        <v>640</v>
      </c>
      <c r="B301">
        <v>32</v>
      </c>
      <c r="C301" t="s">
        <v>31</v>
      </c>
      <c r="D301" t="s">
        <v>23</v>
      </c>
      <c r="E301">
        <v>180140</v>
      </c>
      <c r="F301">
        <v>3</v>
      </c>
      <c r="G301" t="s">
        <v>641</v>
      </c>
      <c r="H301">
        <v>1799736</v>
      </c>
      <c r="I301">
        <v>72</v>
      </c>
      <c r="J301">
        <v>10.34</v>
      </c>
      <c r="K301" t="s">
        <v>44</v>
      </c>
      <c r="L301">
        <v>0</v>
      </c>
      <c r="M301">
        <v>1595668.0818718199</v>
      </c>
      <c r="N301">
        <v>22162.06</v>
      </c>
      <c r="O301" t="s">
        <v>26</v>
      </c>
      <c r="P301">
        <v>0</v>
      </c>
      <c r="Q301">
        <v>0</v>
      </c>
      <c r="R301" t="s">
        <v>27</v>
      </c>
      <c r="S301">
        <v>2</v>
      </c>
      <c r="T301" t="s">
        <v>45</v>
      </c>
      <c r="U301" t="s">
        <v>29</v>
      </c>
    </row>
    <row r="302" spans="1:21" x14ac:dyDescent="0.25">
      <c r="A302" t="s">
        <v>642</v>
      </c>
      <c r="B302">
        <v>42</v>
      </c>
      <c r="C302" t="s">
        <v>22</v>
      </c>
      <c r="D302" t="s">
        <v>23</v>
      </c>
      <c r="E302">
        <v>234861</v>
      </c>
      <c r="F302">
        <v>1</v>
      </c>
      <c r="G302" t="s">
        <v>643</v>
      </c>
      <c r="H302">
        <v>1620234</v>
      </c>
      <c r="I302">
        <v>48</v>
      </c>
      <c r="J302">
        <v>7.12</v>
      </c>
      <c r="K302" t="s">
        <v>25</v>
      </c>
      <c r="L302">
        <v>2018354.1171856499</v>
      </c>
      <c r="M302">
        <v>483868.83237756201</v>
      </c>
      <c r="N302">
        <v>10080.6</v>
      </c>
      <c r="O302" t="s">
        <v>26</v>
      </c>
      <c r="P302">
        <v>0</v>
      </c>
      <c r="Q302">
        <v>0</v>
      </c>
      <c r="R302" t="s">
        <v>34</v>
      </c>
      <c r="S302">
        <v>1</v>
      </c>
      <c r="T302" t="s">
        <v>45</v>
      </c>
      <c r="U302" t="s">
        <v>29</v>
      </c>
    </row>
    <row r="303" spans="1:21" x14ac:dyDescent="0.25">
      <c r="A303" t="s">
        <v>644</v>
      </c>
      <c r="B303">
        <v>42</v>
      </c>
      <c r="C303" t="s">
        <v>31</v>
      </c>
      <c r="D303" t="s">
        <v>49</v>
      </c>
      <c r="E303">
        <v>155507</v>
      </c>
      <c r="F303">
        <v>3</v>
      </c>
      <c r="G303" t="s">
        <v>645</v>
      </c>
      <c r="H303">
        <v>480179</v>
      </c>
      <c r="I303">
        <v>60</v>
      </c>
      <c r="J303">
        <v>7.88</v>
      </c>
      <c r="K303" t="s">
        <v>44</v>
      </c>
      <c r="L303">
        <v>0</v>
      </c>
      <c r="M303">
        <v>116492.978044831</v>
      </c>
      <c r="N303">
        <v>1941.55</v>
      </c>
      <c r="O303" t="s">
        <v>26</v>
      </c>
      <c r="P303">
        <v>3</v>
      </c>
      <c r="Q303">
        <v>74</v>
      </c>
      <c r="R303" t="s">
        <v>34</v>
      </c>
      <c r="S303">
        <v>2</v>
      </c>
      <c r="T303" t="s">
        <v>38</v>
      </c>
      <c r="U303" t="s">
        <v>29</v>
      </c>
    </row>
    <row r="304" spans="1:21" x14ac:dyDescent="0.25">
      <c r="A304" t="s">
        <v>646</v>
      </c>
      <c r="B304">
        <v>50</v>
      </c>
      <c r="C304" t="s">
        <v>22</v>
      </c>
      <c r="D304" t="s">
        <v>23</v>
      </c>
      <c r="E304">
        <v>240160</v>
      </c>
      <c r="F304">
        <v>3</v>
      </c>
      <c r="G304" t="s">
        <v>647</v>
      </c>
      <c r="H304">
        <v>104330</v>
      </c>
      <c r="I304">
        <v>48</v>
      </c>
      <c r="J304">
        <v>9.1300000000000008</v>
      </c>
      <c r="K304" t="s">
        <v>44</v>
      </c>
      <c r="L304">
        <v>0</v>
      </c>
      <c r="M304">
        <v>16273.871478987799</v>
      </c>
      <c r="N304">
        <v>339.04</v>
      </c>
      <c r="O304" t="s">
        <v>68</v>
      </c>
      <c r="P304">
        <v>4</v>
      </c>
      <c r="Q304">
        <v>178</v>
      </c>
      <c r="R304" t="s">
        <v>34</v>
      </c>
      <c r="S304">
        <v>1</v>
      </c>
      <c r="T304" t="s">
        <v>41</v>
      </c>
      <c r="U304" t="s">
        <v>29</v>
      </c>
    </row>
    <row r="305" spans="1:21" x14ac:dyDescent="0.25">
      <c r="A305" t="s">
        <v>648</v>
      </c>
      <c r="B305">
        <v>58</v>
      </c>
      <c r="C305" t="s">
        <v>31</v>
      </c>
      <c r="D305" t="s">
        <v>23</v>
      </c>
      <c r="E305">
        <v>198321</v>
      </c>
      <c r="F305">
        <v>2</v>
      </c>
      <c r="G305" t="s">
        <v>649</v>
      </c>
      <c r="H305">
        <v>101707</v>
      </c>
      <c r="I305">
        <v>12</v>
      </c>
      <c r="J305">
        <v>8.3699999999999992</v>
      </c>
      <c r="K305" t="s">
        <v>44</v>
      </c>
      <c r="L305">
        <v>0</v>
      </c>
      <c r="M305">
        <v>85477.881453182694</v>
      </c>
      <c r="N305">
        <v>7123.16</v>
      </c>
      <c r="O305" t="s">
        <v>68</v>
      </c>
      <c r="P305">
        <v>0</v>
      </c>
      <c r="Q305">
        <v>0</v>
      </c>
      <c r="R305" t="s">
        <v>34</v>
      </c>
      <c r="S305">
        <v>0</v>
      </c>
      <c r="T305" t="s">
        <v>41</v>
      </c>
      <c r="U305" t="s">
        <v>29</v>
      </c>
    </row>
    <row r="306" spans="1:21" x14ac:dyDescent="0.25">
      <c r="A306" t="s">
        <v>650</v>
      </c>
      <c r="B306">
        <v>58</v>
      </c>
      <c r="C306" t="s">
        <v>31</v>
      </c>
      <c r="D306" t="s">
        <v>49</v>
      </c>
      <c r="E306">
        <v>52384</v>
      </c>
      <c r="F306">
        <v>1</v>
      </c>
      <c r="G306" t="s">
        <v>651</v>
      </c>
      <c r="H306">
        <v>330833</v>
      </c>
      <c r="I306">
        <v>60</v>
      </c>
      <c r="J306">
        <v>6.14</v>
      </c>
      <c r="K306" t="s">
        <v>44</v>
      </c>
      <c r="L306">
        <v>0</v>
      </c>
      <c r="M306">
        <v>125797.179188435</v>
      </c>
      <c r="N306">
        <v>2096.62</v>
      </c>
      <c r="O306" t="s">
        <v>26</v>
      </c>
      <c r="P306">
        <v>0</v>
      </c>
      <c r="Q306">
        <v>0</v>
      </c>
      <c r="R306" t="s">
        <v>65</v>
      </c>
      <c r="S306">
        <v>10</v>
      </c>
      <c r="T306" t="s">
        <v>41</v>
      </c>
      <c r="U306" t="s">
        <v>29</v>
      </c>
    </row>
    <row r="307" spans="1:21" x14ac:dyDescent="0.25">
      <c r="A307" t="s">
        <v>652</v>
      </c>
      <c r="B307">
        <v>28</v>
      </c>
      <c r="C307" t="s">
        <v>31</v>
      </c>
      <c r="D307" t="s">
        <v>49</v>
      </c>
      <c r="E307">
        <v>96929</v>
      </c>
      <c r="F307">
        <v>0</v>
      </c>
      <c r="G307" t="s">
        <v>653</v>
      </c>
      <c r="H307">
        <v>1651948</v>
      </c>
      <c r="I307">
        <v>12</v>
      </c>
      <c r="J307">
        <v>6.17</v>
      </c>
      <c r="K307" t="s">
        <v>33</v>
      </c>
      <c r="L307">
        <v>2190385.4494451</v>
      </c>
      <c r="M307">
        <v>762418.94074065494</v>
      </c>
      <c r="N307">
        <v>63534.91</v>
      </c>
      <c r="O307" t="s">
        <v>37</v>
      </c>
      <c r="P307">
        <v>2</v>
      </c>
      <c r="Q307">
        <v>32</v>
      </c>
      <c r="R307" t="s">
        <v>34</v>
      </c>
      <c r="S307">
        <v>0</v>
      </c>
      <c r="T307" t="s">
        <v>38</v>
      </c>
      <c r="U307" t="s">
        <v>29</v>
      </c>
    </row>
    <row r="308" spans="1:21" x14ac:dyDescent="0.25">
      <c r="A308" t="s">
        <v>654</v>
      </c>
      <c r="B308">
        <v>47</v>
      </c>
      <c r="C308" t="s">
        <v>22</v>
      </c>
      <c r="D308" t="s">
        <v>23</v>
      </c>
      <c r="E308">
        <v>142959</v>
      </c>
      <c r="F308">
        <v>2</v>
      </c>
      <c r="G308" t="s">
        <v>655</v>
      </c>
      <c r="H308">
        <v>1138963</v>
      </c>
      <c r="I308">
        <v>48</v>
      </c>
      <c r="J308">
        <v>7.51</v>
      </c>
      <c r="K308" t="s">
        <v>44</v>
      </c>
      <c r="L308">
        <v>0</v>
      </c>
      <c r="M308">
        <v>629248.77983763302</v>
      </c>
      <c r="N308">
        <v>13109.35</v>
      </c>
      <c r="O308" t="s">
        <v>26</v>
      </c>
      <c r="P308">
        <v>1</v>
      </c>
      <c r="Q308">
        <v>163</v>
      </c>
      <c r="R308" t="s">
        <v>27</v>
      </c>
      <c r="S308">
        <v>2</v>
      </c>
      <c r="T308" t="s">
        <v>41</v>
      </c>
      <c r="U308" t="s">
        <v>29</v>
      </c>
    </row>
    <row r="309" spans="1:21" x14ac:dyDescent="0.25">
      <c r="A309" t="s">
        <v>656</v>
      </c>
      <c r="B309">
        <v>47</v>
      </c>
      <c r="C309" t="s">
        <v>22</v>
      </c>
      <c r="D309" t="s">
        <v>49</v>
      </c>
      <c r="E309">
        <v>91153</v>
      </c>
      <c r="F309">
        <v>2</v>
      </c>
      <c r="G309" t="s">
        <v>657</v>
      </c>
      <c r="H309">
        <v>1959824</v>
      </c>
      <c r="I309">
        <v>60</v>
      </c>
      <c r="J309">
        <v>5.66</v>
      </c>
      <c r="K309" t="s">
        <v>25</v>
      </c>
      <c r="L309">
        <v>2345049.75339555</v>
      </c>
      <c r="M309">
        <v>1676644.9357533499</v>
      </c>
      <c r="N309">
        <v>27944.080000000002</v>
      </c>
      <c r="O309" t="s">
        <v>37</v>
      </c>
      <c r="P309">
        <v>2</v>
      </c>
      <c r="Q309">
        <v>125</v>
      </c>
      <c r="R309" t="s">
        <v>34</v>
      </c>
      <c r="S309">
        <v>0</v>
      </c>
      <c r="T309" t="s">
        <v>38</v>
      </c>
      <c r="U309" t="s">
        <v>29</v>
      </c>
    </row>
    <row r="310" spans="1:21" x14ac:dyDescent="0.25">
      <c r="A310" t="s">
        <v>658</v>
      </c>
      <c r="B310">
        <v>54</v>
      </c>
      <c r="C310" t="s">
        <v>31</v>
      </c>
      <c r="D310" t="s">
        <v>58</v>
      </c>
      <c r="E310">
        <v>90388</v>
      </c>
      <c r="F310">
        <v>0</v>
      </c>
      <c r="G310" t="s">
        <v>659</v>
      </c>
      <c r="H310">
        <v>1625506</v>
      </c>
      <c r="I310">
        <v>12</v>
      </c>
      <c r="J310">
        <v>13.14</v>
      </c>
      <c r="K310" t="s">
        <v>44</v>
      </c>
      <c r="L310">
        <v>0</v>
      </c>
      <c r="M310">
        <v>1114690.57598277</v>
      </c>
      <c r="N310">
        <v>92890.880000000005</v>
      </c>
      <c r="O310" t="s">
        <v>26</v>
      </c>
      <c r="P310">
        <v>1</v>
      </c>
      <c r="Q310">
        <v>26</v>
      </c>
      <c r="R310" t="s">
        <v>27</v>
      </c>
      <c r="S310">
        <v>5</v>
      </c>
      <c r="T310" t="s">
        <v>38</v>
      </c>
      <c r="U310" t="s">
        <v>29</v>
      </c>
    </row>
    <row r="311" spans="1:21" x14ac:dyDescent="0.25">
      <c r="A311" t="s">
        <v>660</v>
      </c>
      <c r="B311">
        <v>41</v>
      </c>
      <c r="C311" t="s">
        <v>22</v>
      </c>
      <c r="D311" t="s">
        <v>23</v>
      </c>
      <c r="E311">
        <v>46401</v>
      </c>
      <c r="F311">
        <v>2</v>
      </c>
      <c r="G311" t="s">
        <v>661</v>
      </c>
      <c r="H311">
        <v>1927145</v>
      </c>
      <c r="I311">
        <v>24</v>
      </c>
      <c r="J311">
        <v>8.74</v>
      </c>
      <c r="K311" t="s">
        <v>25</v>
      </c>
      <c r="L311">
        <v>2744395.1400890099</v>
      </c>
      <c r="M311">
        <v>1259501.3534965999</v>
      </c>
      <c r="N311">
        <v>52479.22</v>
      </c>
      <c r="O311" t="s">
        <v>26</v>
      </c>
      <c r="P311">
        <v>3</v>
      </c>
      <c r="Q311">
        <v>3</v>
      </c>
      <c r="R311" t="s">
        <v>65</v>
      </c>
      <c r="S311">
        <v>3</v>
      </c>
      <c r="T311" t="s">
        <v>38</v>
      </c>
      <c r="U311" t="s">
        <v>79</v>
      </c>
    </row>
    <row r="312" spans="1:21" x14ac:dyDescent="0.25">
      <c r="A312" t="s">
        <v>662</v>
      </c>
      <c r="B312">
        <v>50</v>
      </c>
      <c r="C312" t="s">
        <v>31</v>
      </c>
      <c r="D312" t="s">
        <v>49</v>
      </c>
      <c r="E312">
        <v>217903</v>
      </c>
      <c r="F312">
        <v>3</v>
      </c>
      <c r="G312" t="s">
        <v>663</v>
      </c>
      <c r="H312">
        <v>1571624</v>
      </c>
      <c r="I312">
        <v>72</v>
      </c>
      <c r="J312">
        <v>8.64</v>
      </c>
      <c r="K312" t="s">
        <v>44</v>
      </c>
      <c r="L312">
        <v>0</v>
      </c>
      <c r="M312">
        <v>405643.83957899699</v>
      </c>
      <c r="N312">
        <v>5633.94</v>
      </c>
      <c r="O312" t="s">
        <v>26</v>
      </c>
      <c r="P312">
        <v>3</v>
      </c>
      <c r="Q312">
        <v>146</v>
      </c>
      <c r="R312" t="s">
        <v>27</v>
      </c>
      <c r="S312">
        <v>9</v>
      </c>
      <c r="T312" t="s">
        <v>41</v>
      </c>
      <c r="U312" t="s">
        <v>29</v>
      </c>
    </row>
    <row r="313" spans="1:21" x14ac:dyDescent="0.25">
      <c r="A313" t="s">
        <v>664</v>
      </c>
      <c r="B313">
        <v>53</v>
      </c>
      <c r="C313" t="s">
        <v>31</v>
      </c>
      <c r="D313" t="s">
        <v>49</v>
      </c>
      <c r="E313">
        <v>134503</v>
      </c>
      <c r="F313">
        <v>3</v>
      </c>
      <c r="G313" t="s">
        <v>665</v>
      </c>
      <c r="H313">
        <v>236633</v>
      </c>
      <c r="I313">
        <v>48</v>
      </c>
      <c r="J313">
        <v>9.32</v>
      </c>
      <c r="K313" t="s">
        <v>33</v>
      </c>
      <c r="L313">
        <v>312432.24995053699</v>
      </c>
      <c r="M313">
        <v>132957.197280475</v>
      </c>
      <c r="N313">
        <v>2769.94</v>
      </c>
      <c r="O313" t="s">
        <v>26</v>
      </c>
      <c r="P313">
        <v>0</v>
      </c>
      <c r="Q313">
        <v>0</v>
      </c>
      <c r="R313" t="s">
        <v>27</v>
      </c>
      <c r="S313">
        <v>5</v>
      </c>
      <c r="T313" t="s">
        <v>28</v>
      </c>
      <c r="U313" t="s">
        <v>29</v>
      </c>
    </row>
    <row r="314" spans="1:21" x14ac:dyDescent="0.25">
      <c r="A314" t="s">
        <v>666</v>
      </c>
      <c r="B314">
        <v>48</v>
      </c>
      <c r="C314" t="s">
        <v>22</v>
      </c>
      <c r="D314" t="s">
        <v>23</v>
      </c>
      <c r="E314">
        <v>247601</v>
      </c>
      <c r="F314">
        <v>1</v>
      </c>
      <c r="G314" t="s">
        <v>667</v>
      </c>
      <c r="H314">
        <v>1947268</v>
      </c>
      <c r="I314">
        <v>24</v>
      </c>
      <c r="J314">
        <v>13.62</v>
      </c>
      <c r="K314" t="s">
        <v>25</v>
      </c>
      <c r="L314">
        <v>2067733.3782548001</v>
      </c>
      <c r="M314">
        <v>1448461.5063034999</v>
      </c>
      <c r="N314">
        <v>60352.56</v>
      </c>
      <c r="O314" t="s">
        <v>26</v>
      </c>
      <c r="P314">
        <v>0</v>
      </c>
      <c r="Q314">
        <v>0</v>
      </c>
      <c r="R314" t="s">
        <v>34</v>
      </c>
      <c r="S314">
        <v>0</v>
      </c>
      <c r="T314" t="s">
        <v>41</v>
      </c>
      <c r="U314" t="s">
        <v>29</v>
      </c>
    </row>
    <row r="315" spans="1:21" x14ac:dyDescent="0.25">
      <c r="A315" t="s">
        <v>668</v>
      </c>
      <c r="B315">
        <v>53</v>
      </c>
      <c r="C315" t="s">
        <v>31</v>
      </c>
      <c r="D315" t="s">
        <v>23</v>
      </c>
      <c r="E315">
        <v>142834</v>
      </c>
      <c r="F315">
        <v>1</v>
      </c>
      <c r="G315" t="s">
        <v>669</v>
      </c>
      <c r="H315">
        <v>1769374</v>
      </c>
      <c r="I315">
        <v>60</v>
      </c>
      <c r="J315">
        <v>16.32</v>
      </c>
      <c r="K315" t="s">
        <v>44</v>
      </c>
      <c r="L315">
        <v>0</v>
      </c>
      <c r="M315">
        <v>1726793.6514860699</v>
      </c>
      <c r="N315">
        <v>28779.89</v>
      </c>
      <c r="O315" t="s">
        <v>37</v>
      </c>
      <c r="P315">
        <v>0</v>
      </c>
      <c r="Q315">
        <v>0</v>
      </c>
      <c r="R315" t="s">
        <v>27</v>
      </c>
      <c r="S315">
        <v>2</v>
      </c>
      <c r="T315" t="s">
        <v>41</v>
      </c>
      <c r="U315" t="s">
        <v>29</v>
      </c>
    </row>
    <row r="316" spans="1:21" x14ac:dyDescent="0.25">
      <c r="A316" t="s">
        <v>670</v>
      </c>
      <c r="B316">
        <v>25</v>
      </c>
      <c r="C316" t="s">
        <v>22</v>
      </c>
      <c r="D316" t="s">
        <v>23</v>
      </c>
      <c r="E316">
        <v>49084</v>
      </c>
      <c r="F316">
        <v>0</v>
      </c>
      <c r="G316" t="s">
        <v>671</v>
      </c>
      <c r="H316">
        <v>884874</v>
      </c>
      <c r="I316">
        <v>48</v>
      </c>
      <c r="J316">
        <v>14.87</v>
      </c>
      <c r="K316" t="s">
        <v>25</v>
      </c>
      <c r="L316">
        <v>1036546.77712455</v>
      </c>
      <c r="M316">
        <v>248884.68581297001</v>
      </c>
      <c r="N316">
        <v>5185.1000000000004</v>
      </c>
      <c r="O316" t="s">
        <v>37</v>
      </c>
      <c r="P316">
        <v>1</v>
      </c>
      <c r="Q316">
        <v>72</v>
      </c>
      <c r="R316" t="s">
        <v>65</v>
      </c>
      <c r="S316">
        <v>4</v>
      </c>
      <c r="T316" t="s">
        <v>45</v>
      </c>
      <c r="U316" t="s">
        <v>79</v>
      </c>
    </row>
    <row r="317" spans="1:21" x14ac:dyDescent="0.25">
      <c r="A317" t="s">
        <v>672</v>
      </c>
      <c r="B317">
        <v>39</v>
      </c>
      <c r="C317" t="s">
        <v>31</v>
      </c>
      <c r="D317" t="s">
        <v>49</v>
      </c>
      <c r="E317">
        <v>125641</v>
      </c>
      <c r="F317">
        <v>1</v>
      </c>
      <c r="G317" t="s">
        <v>673</v>
      </c>
      <c r="H317">
        <v>939493</v>
      </c>
      <c r="I317">
        <v>48</v>
      </c>
      <c r="J317">
        <v>14.46</v>
      </c>
      <c r="K317" t="s">
        <v>44</v>
      </c>
      <c r="L317">
        <v>0</v>
      </c>
      <c r="M317">
        <v>102018.62206286901</v>
      </c>
      <c r="N317">
        <v>2125.39</v>
      </c>
      <c r="O317" t="s">
        <v>26</v>
      </c>
      <c r="P317">
        <v>0</v>
      </c>
      <c r="Q317">
        <v>0</v>
      </c>
      <c r="R317" t="s">
        <v>27</v>
      </c>
      <c r="S317">
        <v>0</v>
      </c>
      <c r="T317" t="s">
        <v>38</v>
      </c>
      <c r="U317" t="s">
        <v>29</v>
      </c>
    </row>
    <row r="318" spans="1:21" x14ac:dyDescent="0.25">
      <c r="A318" t="s">
        <v>674</v>
      </c>
      <c r="B318">
        <v>24</v>
      </c>
      <c r="C318" t="s">
        <v>31</v>
      </c>
      <c r="D318" t="s">
        <v>58</v>
      </c>
      <c r="E318">
        <v>120111</v>
      </c>
      <c r="F318">
        <v>3</v>
      </c>
      <c r="G318" t="s">
        <v>675</v>
      </c>
      <c r="H318">
        <v>446210</v>
      </c>
      <c r="I318">
        <v>72</v>
      </c>
      <c r="J318">
        <v>11.3</v>
      </c>
      <c r="K318" t="s">
        <v>25</v>
      </c>
      <c r="L318">
        <v>636433.01624500705</v>
      </c>
      <c r="M318">
        <v>74861.227417375907</v>
      </c>
      <c r="N318">
        <v>1039.74</v>
      </c>
      <c r="O318" t="s">
        <v>26</v>
      </c>
      <c r="P318">
        <v>2</v>
      </c>
      <c r="Q318">
        <v>120</v>
      </c>
      <c r="R318" t="s">
        <v>27</v>
      </c>
      <c r="S318">
        <v>2</v>
      </c>
      <c r="T318" t="s">
        <v>28</v>
      </c>
      <c r="U318" t="s">
        <v>29</v>
      </c>
    </row>
    <row r="319" spans="1:21" x14ac:dyDescent="0.25">
      <c r="A319" t="s">
        <v>676</v>
      </c>
      <c r="B319">
        <v>55</v>
      </c>
      <c r="C319" t="s">
        <v>22</v>
      </c>
      <c r="D319" t="s">
        <v>49</v>
      </c>
      <c r="E319">
        <v>201898</v>
      </c>
      <c r="F319">
        <v>0</v>
      </c>
      <c r="G319" t="s">
        <v>677</v>
      </c>
      <c r="H319">
        <v>828799</v>
      </c>
      <c r="I319">
        <v>60</v>
      </c>
      <c r="J319">
        <v>14.02</v>
      </c>
      <c r="K319" t="s">
        <v>44</v>
      </c>
      <c r="L319">
        <v>0</v>
      </c>
      <c r="M319">
        <v>363235.43256132299</v>
      </c>
      <c r="N319">
        <v>6053.92</v>
      </c>
      <c r="O319" t="s">
        <v>26</v>
      </c>
      <c r="P319">
        <v>1</v>
      </c>
      <c r="Q319">
        <v>122</v>
      </c>
      <c r="R319" t="s">
        <v>27</v>
      </c>
      <c r="S319">
        <v>6</v>
      </c>
      <c r="T319" t="s">
        <v>45</v>
      </c>
      <c r="U319" t="s">
        <v>29</v>
      </c>
    </row>
    <row r="320" spans="1:21" x14ac:dyDescent="0.25">
      <c r="A320" t="s">
        <v>678</v>
      </c>
      <c r="B320">
        <v>37</v>
      </c>
      <c r="C320" t="s">
        <v>22</v>
      </c>
      <c r="D320" t="s">
        <v>23</v>
      </c>
      <c r="E320">
        <v>182523</v>
      </c>
      <c r="F320">
        <v>0</v>
      </c>
      <c r="G320" t="s">
        <v>679</v>
      </c>
      <c r="H320">
        <v>1486564</v>
      </c>
      <c r="I320">
        <v>36</v>
      </c>
      <c r="J320">
        <v>12.19</v>
      </c>
      <c r="K320" t="s">
        <v>64</v>
      </c>
      <c r="L320">
        <v>1663714.9245221401</v>
      </c>
      <c r="M320">
        <v>1246469.3203586801</v>
      </c>
      <c r="N320">
        <v>34624.15</v>
      </c>
      <c r="O320" t="s">
        <v>37</v>
      </c>
      <c r="P320">
        <v>3</v>
      </c>
      <c r="Q320">
        <v>112</v>
      </c>
      <c r="R320" t="s">
        <v>27</v>
      </c>
      <c r="S320">
        <v>8</v>
      </c>
      <c r="T320" t="s">
        <v>28</v>
      </c>
      <c r="U320" t="s">
        <v>29</v>
      </c>
    </row>
    <row r="321" spans="1:21" x14ac:dyDescent="0.25">
      <c r="A321" t="s">
        <v>680</v>
      </c>
      <c r="B321">
        <v>64</v>
      </c>
      <c r="C321" t="s">
        <v>31</v>
      </c>
      <c r="D321" t="s">
        <v>49</v>
      </c>
      <c r="E321">
        <v>153299</v>
      </c>
      <c r="F321">
        <v>1</v>
      </c>
      <c r="G321" t="s">
        <v>681</v>
      </c>
      <c r="H321">
        <v>1460295</v>
      </c>
      <c r="I321">
        <v>60</v>
      </c>
      <c r="J321">
        <v>7.81</v>
      </c>
      <c r="K321" t="s">
        <v>44</v>
      </c>
      <c r="L321">
        <v>0</v>
      </c>
      <c r="M321">
        <v>155416.091666183</v>
      </c>
      <c r="N321">
        <v>2590.27</v>
      </c>
      <c r="O321" t="s">
        <v>68</v>
      </c>
      <c r="P321">
        <v>2</v>
      </c>
      <c r="Q321">
        <v>87</v>
      </c>
      <c r="R321" t="s">
        <v>34</v>
      </c>
      <c r="S321">
        <v>0</v>
      </c>
      <c r="T321" t="s">
        <v>28</v>
      </c>
      <c r="U321" t="s">
        <v>29</v>
      </c>
    </row>
    <row r="322" spans="1:21" x14ac:dyDescent="0.25">
      <c r="A322" t="s">
        <v>682</v>
      </c>
      <c r="B322">
        <v>48</v>
      </c>
      <c r="C322" t="s">
        <v>22</v>
      </c>
      <c r="D322" t="s">
        <v>23</v>
      </c>
      <c r="E322">
        <v>177982</v>
      </c>
      <c r="F322">
        <v>3</v>
      </c>
      <c r="G322" t="s">
        <v>683</v>
      </c>
      <c r="H322">
        <v>838245</v>
      </c>
      <c r="I322">
        <v>72</v>
      </c>
      <c r="J322">
        <v>7.71</v>
      </c>
      <c r="K322" t="s">
        <v>25</v>
      </c>
      <c r="L322">
        <v>1110512.8001093499</v>
      </c>
      <c r="M322">
        <v>428391.42225023202</v>
      </c>
      <c r="N322">
        <v>5949.88</v>
      </c>
      <c r="O322" t="s">
        <v>68</v>
      </c>
      <c r="P322">
        <v>0</v>
      </c>
      <c r="Q322">
        <v>0</v>
      </c>
      <c r="R322" t="s">
        <v>27</v>
      </c>
      <c r="S322">
        <v>1</v>
      </c>
      <c r="T322" t="s">
        <v>38</v>
      </c>
      <c r="U322" t="s">
        <v>29</v>
      </c>
    </row>
    <row r="323" spans="1:21" x14ac:dyDescent="0.25">
      <c r="A323" t="s">
        <v>684</v>
      </c>
      <c r="B323">
        <v>50</v>
      </c>
      <c r="C323" t="s">
        <v>22</v>
      </c>
      <c r="D323" t="s">
        <v>23</v>
      </c>
      <c r="E323">
        <v>51041</v>
      </c>
      <c r="F323">
        <v>0</v>
      </c>
      <c r="G323" t="s">
        <v>685</v>
      </c>
      <c r="H323">
        <v>929459</v>
      </c>
      <c r="I323">
        <v>24</v>
      </c>
      <c r="J323">
        <v>8.85</v>
      </c>
      <c r="K323" t="s">
        <v>44</v>
      </c>
      <c r="L323">
        <v>0</v>
      </c>
      <c r="M323">
        <v>368351.62265413802</v>
      </c>
      <c r="N323">
        <v>15347.98</v>
      </c>
      <c r="O323" t="s">
        <v>37</v>
      </c>
      <c r="P323">
        <v>2</v>
      </c>
      <c r="Q323">
        <v>47</v>
      </c>
      <c r="R323" t="s">
        <v>34</v>
      </c>
      <c r="S323">
        <v>3</v>
      </c>
      <c r="T323" t="s">
        <v>41</v>
      </c>
      <c r="U323" t="s">
        <v>29</v>
      </c>
    </row>
    <row r="324" spans="1:21" x14ac:dyDescent="0.25">
      <c r="A324" t="s">
        <v>686</v>
      </c>
      <c r="B324">
        <v>49</v>
      </c>
      <c r="C324" t="s">
        <v>22</v>
      </c>
      <c r="D324" t="s">
        <v>23</v>
      </c>
      <c r="E324">
        <v>103920</v>
      </c>
      <c r="F324">
        <v>3</v>
      </c>
      <c r="G324" t="s">
        <v>687</v>
      </c>
      <c r="H324">
        <v>134381</v>
      </c>
      <c r="I324">
        <v>24</v>
      </c>
      <c r="J324">
        <v>16.84</v>
      </c>
      <c r="K324" t="s">
        <v>44</v>
      </c>
      <c r="L324">
        <v>0</v>
      </c>
      <c r="M324">
        <v>19785.390216420299</v>
      </c>
      <c r="N324">
        <v>824.39</v>
      </c>
      <c r="O324" t="s">
        <v>26</v>
      </c>
      <c r="P324">
        <v>2</v>
      </c>
      <c r="Q324">
        <v>13</v>
      </c>
      <c r="R324" t="s">
        <v>34</v>
      </c>
      <c r="S324">
        <v>3</v>
      </c>
      <c r="T324" t="s">
        <v>38</v>
      </c>
      <c r="U324" t="s">
        <v>29</v>
      </c>
    </row>
    <row r="325" spans="1:21" x14ac:dyDescent="0.25">
      <c r="A325" t="s">
        <v>688</v>
      </c>
      <c r="B325">
        <v>26</v>
      </c>
      <c r="C325" t="s">
        <v>22</v>
      </c>
      <c r="D325" t="s">
        <v>49</v>
      </c>
      <c r="E325">
        <v>80681</v>
      </c>
      <c r="F325">
        <v>3</v>
      </c>
      <c r="G325" t="s">
        <v>689</v>
      </c>
      <c r="H325">
        <v>1872744</v>
      </c>
      <c r="I325">
        <v>24</v>
      </c>
      <c r="J325">
        <v>12.12</v>
      </c>
      <c r="K325" t="s">
        <v>25</v>
      </c>
      <c r="L325">
        <v>2226337.7377351299</v>
      </c>
      <c r="M325">
        <v>946133.97400358203</v>
      </c>
      <c r="N325">
        <v>39422.25</v>
      </c>
      <c r="O325" t="s">
        <v>26</v>
      </c>
      <c r="P325">
        <v>0</v>
      </c>
      <c r="Q325">
        <v>0</v>
      </c>
      <c r="R325" t="s">
        <v>34</v>
      </c>
      <c r="S325">
        <v>2</v>
      </c>
      <c r="T325" t="s">
        <v>38</v>
      </c>
      <c r="U325" t="s">
        <v>29</v>
      </c>
    </row>
    <row r="326" spans="1:21" x14ac:dyDescent="0.25">
      <c r="A326" t="s">
        <v>690</v>
      </c>
      <c r="B326">
        <v>55</v>
      </c>
      <c r="C326" t="s">
        <v>22</v>
      </c>
      <c r="D326" t="s">
        <v>23</v>
      </c>
      <c r="E326">
        <v>249386</v>
      </c>
      <c r="F326">
        <v>3</v>
      </c>
      <c r="G326" t="s">
        <v>691</v>
      </c>
      <c r="H326">
        <v>891708</v>
      </c>
      <c r="I326">
        <v>60</v>
      </c>
      <c r="J326">
        <v>14.54</v>
      </c>
      <c r="K326" t="s">
        <v>64</v>
      </c>
      <c r="L326">
        <v>938020.06864850596</v>
      </c>
      <c r="M326">
        <v>293616.11428962997</v>
      </c>
      <c r="N326">
        <v>4893.6000000000004</v>
      </c>
      <c r="O326" t="s">
        <v>26</v>
      </c>
      <c r="P326">
        <v>2</v>
      </c>
      <c r="Q326">
        <v>64</v>
      </c>
      <c r="R326" t="s">
        <v>34</v>
      </c>
      <c r="S326">
        <v>0</v>
      </c>
      <c r="T326" t="s">
        <v>45</v>
      </c>
      <c r="U326" t="s">
        <v>29</v>
      </c>
    </row>
    <row r="327" spans="1:21" x14ac:dyDescent="0.25">
      <c r="A327" t="s">
        <v>692</v>
      </c>
      <c r="B327">
        <v>61</v>
      </c>
      <c r="C327" t="s">
        <v>22</v>
      </c>
      <c r="D327" t="s">
        <v>49</v>
      </c>
      <c r="E327">
        <v>96571</v>
      </c>
      <c r="F327">
        <v>1</v>
      </c>
      <c r="G327" t="s">
        <v>693</v>
      </c>
      <c r="H327">
        <v>1926251</v>
      </c>
      <c r="I327">
        <v>48</v>
      </c>
      <c r="J327">
        <v>9.51</v>
      </c>
      <c r="K327" t="s">
        <v>44</v>
      </c>
      <c r="L327">
        <v>0</v>
      </c>
      <c r="M327">
        <v>802661.76264117996</v>
      </c>
      <c r="N327">
        <v>16722.12</v>
      </c>
      <c r="O327" t="s">
        <v>68</v>
      </c>
      <c r="P327">
        <v>3</v>
      </c>
      <c r="Q327">
        <v>122</v>
      </c>
      <c r="R327" t="s">
        <v>34</v>
      </c>
      <c r="S327">
        <v>3</v>
      </c>
      <c r="T327" t="s">
        <v>38</v>
      </c>
      <c r="U327" t="s">
        <v>29</v>
      </c>
    </row>
    <row r="328" spans="1:21" x14ac:dyDescent="0.25">
      <c r="A328" t="s">
        <v>694</v>
      </c>
      <c r="B328">
        <v>57</v>
      </c>
      <c r="C328" t="s">
        <v>22</v>
      </c>
      <c r="D328" t="s">
        <v>23</v>
      </c>
      <c r="E328">
        <v>211553</v>
      </c>
      <c r="F328">
        <v>2</v>
      </c>
      <c r="G328" t="s">
        <v>695</v>
      </c>
      <c r="H328">
        <v>243984</v>
      </c>
      <c r="I328">
        <v>48</v>
      </c>
      <c r="J328">
        <v>10.3</v>
      </c>
      <c r="K328" t="s">
        <v>44</v>
      </c>
      <c r="L328">
        <v>0</v>
      </c>
      <c r="M328">
        <v>179341.36007024199</v>
      </c>
      <c r="N328">
        <v>3736.28</v>
      </c>
      <c r="O328" t="s">
        <v>26</v>
      </c>
      <c r="P328">
        <v>1</v>
      </c>
      <c r="Q328">
        <v>29</v>
      </c>
      <c r="R328" t="s">
        <v>34</v>
      </c>
      <c r="S328">
        <v>1</v>
      </c>
      <c r="T328" t="s">
        <v>41</v>
      </c>
      <c r="U328" t="s">
        <v>29</v>
      </c>
    </row>
    <row r="329" spans="1:21" x14ac:dyDescent="0.25">
      <c r="A329" t="s">
        <v>696</v>
      </c>
      <c r="B329">
        <v>44</v>
      </c>
      <c r="C329" t="s">
        <v>31</v>
      </c>
      <c r="D329" t="s">
        <v>23</v>
      </c>
      <c r="E329">
        <v>214648</v>
      </c>
      <c r="F329">
        <v>2</v>
      </c>
      <c r="G329" t="s">
        <v>697</v>
      </c>
      <c r="H329">
        <v>1158848</v>
      </c>
      <c r="I329">
        <v>72</v>
      </c>
      <c r="J329">
        <v>6.63</v>
      </c>
      <c r="K329" t="s">
        <v>44</v>
      </c>
      <c r="L329">
        <v>0</v>
      </c>
      <c r="M329">
        <v>659843.28314293094</v>
      </c>
      <c r="N329">
        <v>9164.49</v>
      </c>
      <c r="O329" t="s">
        <v>26</v>
      </c>
      <c r="P329">
        <v>0</v>
      </c>
      <c r="Q329">
        <v>0</v>
      </c>
      <c r="R329" t="s">
        <v>34</v>
      </c>
      <c r="S329">
        <v>0</v>
      </c>
      <c r="T329" t="s">
        <v>28</v>
      </c>
      <c r="U329" t="s">
        <v>29</v>
      </c>
    </row>
    <row r="330" spans="1:21" x14ac:dyDescent="0.25">
      <c r="A330" t="s">
        <v>698</v>
      </c>
      <c r="B330">
        <v>49</v>
      </c>
      <c r="C330" t="s">
        <v>22</v>
      </c>
      <c r="D330" t="s">
        <v>23</v>
      </c>
      <c r="E330">
        <v>142556</v>
      </c>
      <c r="F330">
        <v>0</v>
      </c>
      <c r="G330" t="s">
        <v>699</v>
      </c>
      <c r="H330">
        <v>1594492</v>
      </c>
      <c r="I330">
        <v>60</v>
      </c>
      <c r="J330">
        <v>7.23</v>
      </c>
      <c r="K330" t="s">
        <v>44</v>
      </c>
      <c r="L330">
        <v>0</v>
      </c>
      <c r="M330">
        <v>338323.59551464801</v>
      </c>
      <c r="N330">
        <v>5638.73</v>
      </c>
      <c r="O330" t="s">
        <v>37</v>
      </c>
      <c r="P330">
        <v>2</v>
      </c>
      <c r="Q330">
        <v>16</v>
      </c>
      <c r="R330" t="s">
        <v>34</v>
      </c>
      <c r="S330">
        <v>2</v>
      </c>
      <c r="T330" t="s">
        <v>38</v>
      </c>
      <c r="U330" t="s">
        <v>29</v>
      </c>
    </row>
    <row r="331" spans="1:21" x14ac:dyDescent="0.25">
      <c r="A331" t="s">
        <v>700</v>
      </c>
      <c r="B331">
        <v>51</v>
      </c>
      <c r="C331" t="s">
        <v>22</v>
      </c>
      <c r="D331" t="s">
        <v>23</v>
      </c>
      <c r="E331">
        <v>210246</v>
      </c>
      <c r="F331">
        <v>3</v>
      </c>
      <c r="G331" t="s">
        <v>701</v>
      </c>
      <c r="H331">
        <v>1795987</v>
      </c>
      <c r="I331">
        <v>24</v>
      </c>
      <c r="J331">
        <v>15.76</v>
      </c>
      <c r="K331" t="s">
        <v>44</v>
      </c>
      <c r="L331">
        <v>0</v>
      </c>
      <c r="M331">
        <v>1733617.91459065</v>
      </c>
      <c r="N331">
        <v>72234.080000000002</v>
      </c>
      <c r="O331" t="s">
        <v>26</v>
      </c>
      <c r="P331">
        <v>3</v>
      </c>
      <c r="Q331">
        <v>102</v>
      </c>
      <c r="R331" t="s">
        <v>34</v>
      </c>
      <c r="S331">
        <v>3</v>
      </c>
      <c r="T331" t="s">
        <v>28</v>
      </c>
      <c r="U331" t="s">
        <v>29</v>
      </c>
    </row>
    <row r="332" spans="1:21" x14ac:dyDescent="0.25">
      <c r="A332" t="s">
        <v>702</v>
      </c>
      <c r="B332">
        <v>55</v>
      </c>
      <c r="C332" t="s">
        <v>22</v>
      </c>
      <c r="D332" t="s">
        <v>58</v>
      </c>
      <c r="E332">
        <v>41160</v>
      </c>
      <c r="F332">
        <v>1</v>
      </c>
      <c r="G332" t="s">
        <v>703</v>
      </c>
      <c r="H332">
        <v>1046358</v>
      </c>
      <c r="I332">
        <v>36</v>
      </c>
      <c r="J332">
        <v>12.6</v>
      </c>
      <c r="K332" t="s">
        <v>25</v>
      </c>
      <c r="L332">
        <v>776228.33047841804</v>
      </c>
      <c r="M332">
        <v>703487.08528785896</v>
      </c>
      <c r="N332">
        <v>19541.310000000001</v>
      </c>
      <c r="O332" t="s">
        <v>26</v>
      </c>
      <c r="P332">
        <v>1</v>
      </c>
      <c r="Q332">
        <v>125</v>
      </c>
      <c r="R332" t="s">
        <v>27</v>
      </c>
      <c r="S332">
        <v>10</v>
      </c>
      <c r="T332" t="s">
        <v>38</v>
      </c>
      <c r="U332" t="s">
        <v>29</v>
      </c>
    </row>
    <row r="333" spans="1:21" x14ac:dyDescent="0.25">
      <c r="A333" t="s">
        <v>704</v>
      </c>
      <c r="B333">
        <v>53</v>
      </c>
      <c r="C333" t="s">
        <v>22</v>
      </c>
      <c r="D333" t="s">
        <v>23</v>
      </c>
      <c r="E333">
        <v>32633</v>
      </c>
      <c r="F333">
        <v>3</v>
      </c>
      <c r="G333" t="s">
        <v>705</v>
      </c>
      <c r="H333">
        <v>788096</v>
      </c>
      <c r="I333">
        <v>36</v>
      </c>
      <c r="J333">
        <v>9.39</v>
      </c>
      <c r="K333" t="s">
        <v>44</v>
      </c>
      <c r="L333">
        <v>0</v>
      </c>
      <c r="M333">
        <v>622029.65851184505</v>
      </c>
      <c r="N333">
        <v>17278.599999999999</v>
      </c>
      <c r="O333" t="s">
        <v>37</v>
      </c>
      <c r="P333">
        <v>1</v>
      </c>
      <c r="Q333">
        <v>18</v>
      </c>
      <c r="R333" t="s">
        <v>65</v>
      </c>
      <c r="S333">
        <v>0</v>
      </c>
      <c r="T333" t="s">
        <v>28</v>
      </c>
      <c r="U333" t="s">
        <v>79</v>
      </c>
    </row>
    <row r="334" spans="1:21" x14ac:dyDescent="0.25">
      <c r="A334" t="s">
        <v>706</v>
      </c>
      <c r="B334">
        <v>41</v>
      </c>
      <c r="C334" t="s">
        <v>22</v>
      </c>
      <c r="D334" t="s">
        <v>49</v>
      </c>
      <c r="E334">
        <v>240952</v>
      </c>
      <c r="F334">
        <v>3</v>
      </c>
      <c r="G334" t="s">
        <v>707</v>
      </c>
      <c r="H334">
        <v>303091</v>
      </c>
      <c r="I334">
        <v>36</v>
      </c>
      <c r="J334">
        <v>15.44</v>
      </c>
      <c r="K334" t="s">
        <v>44</v>
      </c>
      <c r="L334">
        <v>0</v>
      </c>
      <c r="M334">
        <v>51917.013564268404</v>
      </c>
      <c r="N334">
        <v>1442.14</v>
      </c>
      <c r="O334" t="s">
        <v>26</v>
      </c>
      <c r="P334">
        <v>1</v>
      </c>
      <c r="Q334">
        <v>147</v>
      </c>
      <c r="R334" t="s">
        <v>27</v>
      </c>
      <c r="S334">
        <v>0</v>
      </c>
      <c r="T334" t="s">
        <v>38</v>
      </c>
      <c r="U334" t="s">
        <v>29</v>
      </c>
    </row>
    <row r="335" spans="1:21" x14ac:dyDescent="0.25">
      <c r="A335" t="s">
        <v>708</v>
      </c>
      <c r="B335">
        <v>52</v>
      </c>
      <c r="C335" t="s">
        <v>31</v>
      </c>
      <c r="D335" t="s">
        <v>23</v>
      </c>
      <c r="E335">
        <v>32014</v>
      </c>
      <c r="F335">
        <v>1</v>
      </c>
      <c r="G335" t="s">
        <v>709</v>
      </c>
      <c r="H335">
        <v>902050</v>
      </c>
      <c r="I335">
        <v>60</v>
      </c>
      <c r="J335">
        <v>8.1999999999999993</v>
      </c>
      <c r="K335" t="s">
        <v>33</v>
      </c>
      <c r="L335">
        <v>835296.06243649602</v>
      </c>
      <c r="M335">
        <v>128409.11007271901</v>
      </c>
      <c r="N335">
        <v>2140.15</v>
      </c>
      <c r="O335" t="s">
        <v>26</v>
      </c>
      <c r="P335">
        <v>1</v>
      </c>
      <c r="Q335">
        <v>161</v>
      </c>
      <c r="R335" t="s">
        <v>65</v>
      </c>
      <c r="S335">
        <v>7</v>
      </c>
      <c r="T335" t="s">
        <v>45</v>
      </c>
      <c r="U335" t="s">
        <v>79</v>
      </c>
    </row>
    <row r="336" spans="1:21" x14ac:dyDescent="0.25">
      <c r="A336" t="s">
        <v>710</v>
      </c>
      <c r="B336">
        <v>43</v>
      </c>
      <c r="C336" t="s">
        <v>31</v>
      </c>
      <c r="D336" t="s">
        <v>49</v>
      </c>
      <c r="E336">
        <v>95532</v>
      </c>
      <c r="F336">
        <v>2</v>
      </c>
      <c r="G336" t="s">
        <v>711</v>
      </c>
      <c r="H336">
        <v>314064</v>
      </c>
      <c r="I336">
        <v>72</v>
      </c>
      <c r="J336">
        <v>17.690000000000001</v>
      </c>
      <c r="K336" t="s">
        <v>44</v>
      </c>
      <c r="L336">
        <v>0</v>
      </c>
      <c r="M336">
        <v>36903.5392417209</v>
      </c>
      <c r="N336">
        <v>512.54999999999995</v>
      </c>
      <c r="O336" t="s">
        <v>37</v>
      </c>
      <c r="P336">
        <v>3</v>
      </c>
      <c r="Q336">
        <v>175</v>
      </c>
      <c r="R336" t="s">
        <v>27</v>
      </c>
      <c r="S336">
        <v>6</v>
      </c>
      <c r="T336" t="s">
        <v>28</v>
      </c>
      <c r="U336" t="s">
        <v>29</v>
      </c>
    </row>
    <row r="337" spans="1:21" x14ac:dyDescent="0.25">
      <c r="A337" t="s">
        <v>712</v>
      </c>
      <c r="B337">
        <v>53</v>
      </c>
      <c r="C337" t="s">
        <v>22</v>
      </c>
      <c r="D337" t="s">
        <v>23</v>
      </c>
      <c r="E337">
        <v>64104</v>
      </c>
      <c r="F337">
        <v>3</v>
      </c>
      <c r="G337" t="s">
        <v>713</v>
      </c>
      <c r="H337">
        <v>1204697</v>
      </c>
      <c r="I337">
        <v>36</v>
      </c>
      <c r="J337">
        <v>9.48</v>
      </c>
      <c r="K337" t="s">
        <v>44</v>
      </c>
      <c r="L337">
        <v>0</v>
      </c>
      <c r="M337">
        <v>325165.33898892702</v>
      </c>
      <c r="N337">
        <v>9032.3700000000008</v>
      </c>
      <c r="O337" t="s">
        <v>37</v>
      </c>
      <c r="P337">
        <v>0</v>
      </c>
      <c r="Q337">
        <v>0</v>
      </c>
      <c r="R337" t="s">
        <v>34</v>
      </c>
      <c r="S337">
        <v>3</v>
      </c>
      <c r="T337" t="s">
        <v>38</v>
      </c>
      <c r="U337" t="s">
        <v>29</v>
      </c>
    </row>
    <row r="338" spans="1:21" x14ac:dyDescent="0.25">
      <c r="A338" t="s">
        <v>714</v>
      </c>
      <c r="B338">
        <v>23</v>
      </c>
      <c r="C338" t="s">
        <v>31</v>
      </c>
      <c r="D338" t="s">
        <v>49</v>
      </c>
      <c r="E338">
        <v>187693</v>
      </c>
      <c r="F338">
        <v>3</v>
      </c>
      <c r="G338" t="s">
        <v>715</v>
      </c>
      <c r="H338">
        <v>520435</v>
      </c>
      <c r="I338">
        <v>48</v>
      </c>
      <c r="J338">
        <v>9.39</v>
      </c>
      <c r="K338" t="s">
        <v>44</v>
      </c>
      <c r="L338">
        <v>0</v>
      </c>
      <c r="M338">
        <v>246148.871019963</v>
      </c>
      <c r="N338">
        <v>5128.1000000000004</v>
      </c>
      <c r="O338" t="s">
        <v>68</v>
      </c>
      <c r="P338">
        <v>2</v>
      </c>
      <c r="Q338">
        <v>13</v>
      </c>
      <c r="R338" t="s">
        <v>27</v>
      </c>
      <c r="S338">
        <v>10</v>
      </c>
      <c r="T338" t="s">
        <v>38</v>
      </c>
      <c r="U338" t="s">
        <v>29</v>
      </c>
    </row>
    <row r="339" spans="1:21" x14ac:dyDescent="0.25">
      <c r="A339" t="s">
        <v>716</v>
      </c>
      <c r="B339">
        <v>38</v>
      </c>
      <c r="C339" t="s">
        <v>31</v>
      </c>
      <c r="D339" t="s">
        <v>49</v>
      </c>
      <c r="E339">
        <v>92231</v>
      </c>
      <c r="F339">
        <v>2</v>
      </c>
      <c r="G339" t="s">
        <v>717</v>
      </c>
      <c r="H339">
        <v>651160</v>
      </c>
      <c r="I339">
        <v>60</v>
      </c>
      <c r="J339">
        <v>9.0500000000000007</v>
      </c>
      <c r="K339" t="s">
        <v>25</v>
      </c>
      <c r="L339">
        <v>955735.41781872197</v>
      </c>
      <c r="M339">
        <v>613551.29052392405</v>
      </c>
      <c r="N339">
        <v>10225.85</v>
      </c>
      <c r="O339" t="s">
        <v>26</v>
      </c>
      <c r="P339">
        <v>2</v>
      </c>
      <c r="Q339">
        <v>38</v>
      </c>
      <c r="R339" t="s">
        <v>27</v>
      </c>
      <c r="S339">
        <v>1</v>
      </c>
      <c r="T339" t="s">
        <v>45</v>
      </c>
      <c r="U339" t="s">
        <v>29</v>
      </c>
    </row>
    <row r="340" spans="1:21" x14ac:dyDescent="0.25">
      <c r="A340" t="s">
        <v>718</v>
      </c>
      <c r="B340">
        <v>45</v>
      </c>
      <c r="C340" t="s">
        <v>22</v>
      </c>
      <c r="D340" t="s">
        <v>23</v>
      </c>
      <c r="E340">
        <v>83388</v>
      </c>
      <c r="F340">
        <v>1</v>
      </c>
      <c r="G340" t="s">
        <v>719</v>
      </c>
      <c r="H340">
        <v>1966140</v>
      </c>
      <c r="I340">
        <v>36</v>
      </c>
      <c r="J340">
        <v>6.59</v>
      </c>
      <c r="K340" t="s">
        <v>44</v>
      </c>
      <c r="L340">
        <v>0</v>
      </c>
      <c r="M340">
        <v>1005392.95062193</v>
      </c>
      <c r="N340">
        <v>27927.58</v>
      </c>
      <c r="O340" t="s">
        <v>26</v>
      </c>
      <c r="P340">
        <v>3</v>
      </c>
      <c r="Q340">
        <v>38</v>
      </c>
      <c r="R340" t="s">
        <v>34</v>
      </c>
      <c r="S340">
        <v>3</v>
      </c>
      <c r="T340" t="s">
        <v>45</v>
      </c>
      <c r="U340" t="s">
        <v>29</v>
      </c>
    </row>
    <row r="341" spans="1:21" x14ac:dyDescent="0.25">
      <c r="A341" t="s">
        <v>720</v>
      </c>
      <c r="B341">
        <v>62</v>
      </c>
      <c r="C341" t="s">
        <v>31</v>
      </c>
      <c r="D341" t="s">
        <v>23</v>
      </c>
      <c r="E341">
        <v>31014</v>
      </c>
      <c r="F341">
        <v>0</v>
      </c>
      <c r="G341" t="s">
        <v>721</v>
      </c>
      <c r="H341">
        <v>314237</v>
      </c>
      <c r="I341">
        <v>24</v>
      </c>
      <c r="J341">
        <v>6.44</v>
      </c>
      <c r="K341" t="s">
        <v>25</v>
      </c>
      <c r="L341">
        <v>363812.720743432</v>
      </c>
      <c r="M341">
        <v>113511.704192253</v>
      </c>
      <c r="N341">
        <v>4729.6499999999996</v>
      </c>
      <c r="O341" t="s">
        <v>37</v>
      </c>
      <c r="P341">
        <v>1</v>
      </c>
      <c r="Q341">
        <v>144</v>
      </c>
      <c r="R341" t="s">
        <v>34</v>
      </c>
      <c r="S341">
        <v>3</v>
      </c>
      <c r="T341" t="s">
        <v>45</v>
      </c>
      <c r="U341" t="s">
        <v>29</v>
      </c>
    </row>
    <row r="342" spans="1:21" x14ac:dyDescent="0.25">
      <c r="A342" t="s">
        <v>722</v>
      </c>
      <c r="B342">
        <v>51</v>
      </c>
      <c r="C342" t="s">
        <v>31</v>
      </c>
      <c r="D342" t="s">
        <v>49</v>
      </c>
      <c r="E342">
        <v>107578</v>
      </c>
      <c r="F342">
        <v>2</v>
      </c>
      <c r="G342" t="s">
        <v>723</v>
      </c>
      <c r="H342">
        <v>325049</v>
      </c>
      <c r="I342">
        <v>48</v>
      </c>
      <c r="J342">
        <v>13.43</v>
      </c>
      <c r="K342" t="s">
        <v>44</v>
      </c>
      <c r="L342">
        <v>0</v>
      </c>
      <c r="M342">
        <v>196895.742999182</v>
      </c>
      <c r="N342">
        <v>4101.99</v>
      </c>
      <c r="O342" t="s">
        <v>26</v>
      </c>
      <c r="P342">
        <v>2</v>
      </c>
      <c r="Q342">
        <v>77</v>
      </c>
      <c r="R342" t="s">
        <v>27</v>
      </c>
      <c r="S342">
        <v>1</v>
      </c>
      <c r="T342" t="s">
        <v>28</v>
      </c>
      <c r="U342" t="s">
        <v>29</v>
      </c>
    </row>
    <row r="343" spans="1:21" x14ac:dyDescent="0.25">
      <c r="A343" t="s">
        <v>724</v>
      </c>
      <c r="B343">
        <v>23</v>
      </c>
      <c r="C343" t="s">
        <v>22</v>
      </c>
      <c r="D343" t="s">
        <v>58</v>
      </c>
      <c r="E343">
        <v>179827</v>
      </c>
      <c r="F343">
        <v>0</v>
      </c>
      <c r="G343" t="s">
        <v>725</v>
      </c>
      <c r="H343">
        <v>696047</v>
      </c>
      <c r="I343">
        <v>12</v>
      </c>
      <c r="J343">
        <v>16.38</v>
      </c>
      <c r="K343" t="s">
        <v>25</v>
      </c>
      <c r="L343">
        <v>740869.211298813</v>
      </c>
      <c r="M343">
        <v>139725.254576287</v>
      </c>
      <c r="N343">
        <v>11643.77</v>
      </c>
      <c r="O343" t="s">
        <v>26</v>
      </c>
      <c r="P343">
        <v>1</v>
      </c>
      <c r="Q343">
        <v>21</v>
      </c>
      <c r="R343" t="s">
        <v>34</v>
      </c>
      <c r="S343">
        <v>0</v>
      </c>
      <c r="T343" t="s">
        <v>28</v>
      </c>
      <c r="U343" t="s">
        <v>29</v>
      </c>
    </row>
    <row r="344" spans="1:21" x14ac:dyDescent="0.25">
      <c r="A344" t="s">
        <v>726</v>
      </c>
      <c r="B344">
        <v>60</v>
      </c>
      <c r="C344" t="s">
        <v>22</v>
      </c>
      <c r="D344" t="s">
        <v>23</v>
      </c>
      <c r="E344">
        <v>55390</v>
      </c>
      <c r="F344">
        <v>0</v>
      </c>
      <c r="G344" t="s">
        <v>727</v>
      </c>
      <c r="H344">
        <v>467567</v>
      </c>
      <c r="I344">
        <v>72</v>
      </c>
      <c r="J344">
        <v>15.28</v>
      </c>
      <c r="K344" t="s">
        <v>44</v>
      </c>
      <c r="L344">
        <v>0</v>
      </c>
      <c r="M344">
        <v>303243.056845574</v>
      </c>
      <c r="N344">
        <v>4211.71</v>
      </c>
      <c r="O344" t="s">
        <v>37</v>
      </c>
      <c r="P344">
        <v>0</v>
      </c>
      <c r="Q344">
        <v>0</v>
      </c>
      <c r="R344" t="s">
        <v>27</v>
      </c>
      <c r="S344">
        <v>5</v>
      </c>
      <c r="T344" t="s">
        <v>45</v>
      </c>
      <c r="U344" t="s">
        <v>29</v>
      </c>
    </row>
    <row r="345" spans="1:21" x14ac:dyDescent="0.25">
      <c r="A345" t="s">
        <v>728</v>
      </c>
      <c r="B345">
        <v>44</v>
      </c>
      <c r="C345" t="s">
        <v>31</v>
      </c>
      <c r="D345" t="s">
        <v>49</v>
      </c>
      <c r="E345">
        <v>38711</v>
      </c>
      <c r="F345">
        <v>2</v>
      </c>
      <c r="G345" t="s">
        <v>729</v>
      </c>
      <c r="H345">
        <v>1391701</v>
      </c>
      <c r="I345">
        <v>12</v>
      </c>
      <c r="J345">
        <v>6.83</v>
      </c>
      <c r="K345" t="s">
        <v>25</v>
      </c>
      <c r="L345">
        <v>1994247.1687042599</v>
      </c>
      <c r="M345">
        <v>851148.687346344</v>
      </c>
      <c r="N345">
        <v>70929.06</v>
      </c>
      <c r="O345" t="s">
        <v>26</v>
      </c>
      <c r="P345">
        <v>3</v>
      </c>
      <c r="Q345">
        <v>63</v>
      </c>
      <c r="R345" t="s">
        <v>34</v>
      </c>
      <c r="S345">
        <v>1</v>
      </c>
      <c r="T345" t="s">
        <v>41</v>
      </c>
      <c r="U345" t="s">
        <v>29</v>
      </c>
    </row>
    <row r="346" spans="1:21" x14ac:dyDescent="0.25">
      <c r="A346" t="s">
        <v>730</v>
      </c>
      <c r="B346">
        <v>52</v>
      </c>
      <c r="C346" t="s">
        <v>31</v>
      </c>
      <c r="D346" t="s">
        <v>58</v>
      </c>
      <c r="E346">
        <v>106658</v>
      </c>
      <c r="F346">
        <v>3</v>
      </c>
      <c r="G346" t="s">
        <v>731</v>
      </c>
      <c r="H346">
        <v>1958911</v>
      </c>
      <c r="I346">
        <v>36</v>
      </c>
      <c r="J346">
        <v>12.09</v>
      </c>
      <c r="K346" t="s">
        <v>33</v>
      </c>
      <c r="L346">
        <v>2128379.8795038499</v>
      </c>
      <c r="M346">
        <v>1592190.5785556301</v>
      </c>
      <c r="N346">
        <v>44227.519999999997</v>
      </c>
      <c r="O346" t="s">
        <v>26</v>
      </c>
      <c r="P346">
        <v>0</v>
      </c>
      <c r="Q346">
        <v>0</v>
      </c>
      <c r="R346" t="s">
        <v>34</v>
      </c>
      <c r="S346">
        <v>0</v>
      </c>
      <c r="T346" t="s">
        <v>41</v>
      </c>
      <c r="U346" t="s">
        <v>29</v>
      </c>
    </row>
    <row r="347" spans="1:21" x14ac:dyDescent="0.25">
      <c r="A347" t="s">
        <v>732</v>
      </c>
      <c r="B347">
        <v>42</v>
      </c>
      <c r="C347" t="s">
        <v>22</v>
      </c>
      <c r="D347" t="s">
        <v>49</v>
      </c>
      <c r="E347">
        <v>72993</v>
      </c>
      <c r="F347">
        <v>0</v>
      </c>
      <c r="G347" t="s">
        <v>733</v>
      </c>
      <c r="H347">
        <v>1955829</v>
      </c>
      <c r="I347">
        <v>48</v>
      </c>
      <c r="J347">
        <v>6.37</v>
      </c>
      <c r="K347" t="s">
        <v>25</v>
      </c>
      <c r="L347">
        <v>2006841.94591379</v>
      </c>
      <c r="M347">
        <v>1932395.9202671801</v>
      </c>
      <c r="N347">
        <v>40258.25</v>
      </c>
      <c r="O347" t="s">
        <v>26</v>
      </c>
      <c r="P347">
        <v>3</v>
      </c>
      <c r="Q347">
        <v>30</v>
      </c>
      <c r="R347" t="s">
        <v>34</v>
      </c>
      <c r="S347">
        <v>1</v>
      </c>
      <c r="T347" t="s">
        <v>38</v>
      </c>
      <c r="U347" t="s">
        <v>29</v>
      </c>
    </row>
    <row r="348" spans="1:21" x14ac:dyDescent="0.25">
      <c r="A348" t="s">
        <v>734</v>
      </c>
      <c r="B348">
        <v>43</v>
      </c>
      <c r="C348" t="s">
        <v>31</v>
      </c>
      <c r="D348" t="s">
        <v>58</v>
      </c>
      <c r="E348">
        <v>220768</v>
      </c>
      <c r="F348">
        <v>0</v>
      </c>
      <c r="G348" t="s">
        <v>735</v>
      </c>
      <c r="H348">
        <v>1469920</v>
      </c>
      <c r="I348">
        <v>72</v>
      </c>
      <c r="J348">
        <v>5.59</v>
      </c>
      <c r="K348" t="s">
        <v>44</v>
      </c>
      <c r="L348">
        <v>0</v>
      </c>
      <c r="M348">
        <v>478879.54019045102</v>
      </c>
      <c r="N348">
        <v>6651.1</v>
      </c>
      <c r="O348" t="s">
        <v>26</v>
      </c>
      <c r="P348">
        <v>1</v>
      </c>
      <c r="Q348">
        <v>142</v>
      </c>
      <c r="R348" t="s">
        <v>34</v>
      </c>
      <c r="S348">
        <v>2</v>
      </c>
      <c r="T348" t="s">
        <v>41</v>
      </c>
      <c r="U348" t="s">
        <v>29</v>
      </c>
    </row>
    <row r="349" spans="1:21" x14ac:dyDescent="0.25">
      <c r="A349" t="s">
        <v>736</v>
      </c>
      <c r="B349">
        <v>22</v>
      </c>
      <c r="C349" t="s">
        <v>31</v>
      </c>
      <c r="D349" t="s">
        <v>49</v>
      </c>
      <c r="E349">
        <v>173285</v>
      </c>
      <c r="F349">
        <v>1</v>
      </c>
      <c r="G349" t="s">
        <v>737</v>
      </c>
      <c r="H349">
        <v>132289</v>
      </c>
      <c r="I349">
        <v>24</v>
      </c>
      <c r="J349">
        <v>13.53</v>
      </c>
      <c r="K349" t="s">
        <v>44</v>
      </c>
      <c r="L349">
        <v>0</v>
      </c>
      <c r="M349">
        <v>73908.647998340806</v>
      </c>
      <c r="N349">
        <v>3079.53</v>
      </c>
      <c r="O349" t="s">
        <v>26</v>
      </c>
      <c r="P349">
        <v>1</v>
      </c>
      <c r="Q349">
        <v>106</v>
      </c>
      <c r="R349" t="s">
        <v>34</v>
      </c>
      <c r="S349">
        <v>2</v>
      </c>
      <c r="T349" t="s">
        <v>38</v>
      </c>
      <c r="U349" t="s">
        <v>29</v>
      </c>
    </row>
    <row r="350" spans="1:21" x14ac:dyDescent="0.25">
      <c r="A350" t="s">
        <v>738</v>
      </c>
      <c r="B350">
        <v>47</v>
      </c>
      <c r="C350" t="s">
        <v>31</v>
      </c>
      <c r="D350" t="s">
        <v>23</v>
      </c>
      <c r="E350">
        <v>203856</v>
      </c>
      <c r="F350">
        <v>3</v>
      </c>
      <c r="G350" t="s">
        <v>739</v>
      </c>
      <c r="H350">
        <v>690794</v>
      </c>
      <c r="I350">
        <v>24</v>
      </c>
      <c r="J350">
        <v>11.96</v>
      </c>
      <c r="K350" t="s">
        <v>44</v>
      </c>
      <c r="L350">
        <v>0</v>
      </c>
      <c r="M350">
        <v>634134.29254345701</v>
      </c>
      <c r="N350">
        <v>26422.26</v>
      </c>
      <c r="O350" t="s">
        <v>26</v>
      </c>
      <c r="P350">
        <v>3</v>
      </c>
      <c r="Q350">
        <v>155</v>
      </c>
      <c r="R350" t="s">
        <v>27</v>
      </c>
      <c r="S350">
        <v>6</v>
      </c>
      <c r="T350" t="s">
        <v>28</v>
      </c>
      <c r="U350" t="s">
        <v>29</v>
      </c>
    </row>
    <row r="351" spans="1:21" x14ac:dyDescent="0.25">
      <c r="A351" t="s">
        <v>740</v>
      </c>
      <c r="B351">
        <v>62</v>
      </c>
      <c r="C351" t="s">
        <v>31</v>
      </c>
      <c r="D351" t="s">
        <v>23</v>
      </c>
      <c r="E351">
        <v>22421</v>
      </c>
      <c r="F351">
        <v>0</v>
      </c>
      <c r="G351" t="s">
        <v>741</v>
      </c>
      <c r="H351">
        <v>1701377</v>
      </c>
      <c r="I351">
        <v>12</v>
      </c>
      <c r="J351">
        <v>6.07</v>
      </c>
      <c r="K351" t="s">
        <v>44</v>
      </c>
      <c r="L351">
        <v>0</v>
      </c>
      <c r="M351">
        <v>1372451.3089907099</v>
      </c>
      <c r="N351">
        <v>114370.94</v>
      </c>
      <c r="O351" t="s">
        <v>37</v>
      </c>
      <c r="P351">
        <v>2</v>
      </c>
      <c r="Q351">
        <v>152</v>
      </c>
      <c r="R351" t="s">
        <v>27</v>
      </c>
      <c r="S351">
        <v>9</v>
      </c>
      <c r="T351" t="s">
        <v>28</v>
      </c>
      <c r="U351" t="s">
        <v>29</v>
      </c>
    </row>
    <row r="352" spans="1:21" x14ac:dyDescent="0.25">
      <c r="A352" t="s">
        <v>742</v>
      </c>
      <c r="B352">
        <v>22</v>
      </c>
      <c r="C352" t="s">
        <v>31</v>
      </c>
      <c r="D352" t="s">
        <v>23</v>
      </c>
      <c r="E352">
        <v>233008</v>
      </c>
      <c r="F352">
        <v>1</v>
      </c>
      <c r="G352" t="s">
        <v>743</v>
      </c>
      <c r="H352">
        <v>1511666</v>
      </c>
      <c r="I352">
        <v>24</v>
      </c>
      <c r="J352">
        <v>5.45</v>
      </c>
      <c r="K352" t="s">
        <v>44</v>
      </c>
      <c r="L352">
        <v>0</v>
      </c>
      <c r="M352">
        <v>814282.58292486705</v>
      </c>
      <c r="N352">
        <v>33928.44</v>
      </c>
      <c r="O352" t="s">
        <v>68</v>
      </c>
      <c r="P352">
        <v>4</v>
      </c>
      <c r="Q352">
        <v>158</v>
      </c>
      <c r="R352" t="s">
        <v>27</v>
      </c>
      <c r="S352">
        <v>8</v>
      </c>
      <c r="T352" t="s">
        <v>41</v>
      </c>
      <c r="U352" t="s">
        <v>29</v>
      </c>
    </row>
    <row r="353" spans="1:21" x14ac:dyDescent="0.25">
      <c r="A353" t="s">
        <v>744</v>
      </c>
      <c r="B353">
        <v>46</v>
      </c>
      <c r="C353" t="s">
        <v>22</v>
      </c>
      <c r="D353" t="s">
        <v>49</v>
      </c>
      <c r="E353">
        <v>245145</v>
      </c>
      <c r="F353">
        <v>3</v>
      </c>
      <c r="G353" t="s">
        <v>745</v>
      </c>
      <c r="H353">
        <v>1804867</v>
      </c>
      <c r="I353">
        <v>24</v>
      </c>
      <c r="J353">
        <v>17.87</v>
      </c>
      <c r="K353" t="s">
        <v>33</v>
      </c>
      <c r="L353">
        <v>2272888.6052023899</v>
      </c>
      <c r="M353">
        <v>1716129.7838127499</v>
      </c>
      <c r="N353">
        <v>71505.41</v>
      </c>
      <c r="O353" t="s">
        <v>26</v>
      </c>
      <c r="P353">
        <v>1</v>
      </c>
      <c r="Q353">
        <v>57</v>
      </c>
      <c r="R353" t="s">
        <v>34</v>
      </c>
      <c r="S353">
        <v>2</v>
      </c>
      <c r="T353" t="s">
        <v>28</v>
      </c>
      <c r="U353" t="s">
        <v>29</v>
      </c>
    </row>
    <row r="354" spans="1:21" x14ac:dyDescent="0.25">
      <c r="A354" t="s">
        <v>746</v>
      </c>
      <c r="B354">
        <v>37</v>
      </c>
      <c r="C354" t="s">
        <v>22</v>
      </c>
      <c r="D354" t="s">
        <v>49</v>
      </c>
      <c r="E354">
        <v>32727</v>
      </c>
      <c r="F354">
        <v>2</v>
      </c>
      <c r="G354" t="s">
        <v>747</v>
      </c>
      <c r="H354">
        <v>1499466</v>
      </c>
      <c r="I354">
        <v>48</v>
      </c>
      <c r="J354">
        <v>5.39</v>
      </c>
      <c r="K354" t="s">
        <v>44</v>
      </c>
      <c r="L354">
        <v>0</v>
      </c>
      <c r="M354">
        <v>227188.62829278901</v>
      </c>
      <c r="N354">
        <v>4733.1000000000004</v>
      </c>
      <c r="O354" t="s">
        <v>26</v>
      </c>
      <c r="P354">
        <v>1</v>
      </c>
      <c r="Q354">
        <v>133</v>
      </c>
      <c r="R354" t="s">
        <v>27</v>
      </c>
      <c r="S354">
        <v>7</v>
      </c>
      <c r="T354" t="s">
        <v>45</v>
      </c>
      <c r="U354" t="s">
        <v>29</v>
      </c>
    </row>
    <row r="355" spans="1:21" x14ac:dyDescent="0.25">
      <c r="A355" t="s">
        <v>748</v>
      </c>
      <c r="B355">
        <v>60</v>
      </c>
      <c r="C355" t="s">
        <v>31</v>
      </c>
      <c r="D355" t="s">
        <v>23</v>
      </c>
      <c r="E355">
        <v>127418</v>
      </c>
      <c r="F355">
        <v>2</v>
      </c>
      <c r="G355" t="s">
        <v>749</v>
      </c>
      <c r="H355">
        <v>1411236</v>
      </c>
      <c r="I355">
        <v>24</v>
      </c>
      <c r="J355">
        <v>10.78</v>
      </c>
      <c r="K355" t="s">
        <v>25</v>
      </c>
      <c r="L355">
        <v>1711357.3774761001</v>
      </c>
      <c r="M355">
        <v>1323596.49127984</v>
      </c>
      <c r="N355">
        <v>55149.85</v>
      </c>
      <c r="O355" t="s">
        <v>26</v>
      </c>
      <c r="P355">
        <v>0</v>
      </c>
      <c r="Q355">
        <v>0</v>
      </c>
      <c r="R355" t="s">
        <v>34</v>
      </c>
      <c r="S355">
        <v>3</v>
      </c>
      <c r="T355" t="s">
        <v>45</v>
      </c>
      <c r="U355" t="s">
        <v>29</v>
      </c>
    </row>
    <row r="356" spans="1:21" x14ac:dyDescent="0.25">
      <c r="A356" t="s">
        <v>750</v>
      </c>
      <c r="B356">
        <v>53</v>
      </c>
      <c r="C356" t="s">
        <v>31</v>
      </c>
      <c r="D356" t="s">
        <v>49</v>
      </c>
      <c r="E356">
        <v>19358</v>
      </c>
      <c r="F356">
        <v>1</v>
      </c>
      <c r="G356" t="s">
        <v>751</v>
      </c>
      <c r="H356">
        <v>309480</v>
      </c>
      <c r="I356">
        <v>12</v>
      </c>
      <c r="J356">
        <v>11.56</v>
      </c>
      <c r="K356" t="s">
        <v>25</v>
      </c>
      <c r="L356">
        <v>214519.15940224199</v>
      </c>
      <c r="M356">
        <v>45015.925015167901</v>
      </c>
      <c r="N356">
        <v>3751.33</v>
      </c>
      <c r="O356" t="s">
        <v>26</v>
      </c>
      <c r="P356">
        <v>1</v>
      </c>
      <c r="Q356">
        <v>97</v>
      </c>
      <c r="R356" t="s">
        <v>34</v>
      </c>
      <c r="S356">
        <v>0</v>
      </c>
      <c r="T356" t="s">
        <v>41</v>
      </c>
      <c r="U356" t="s">
        <v>29</v>
      </c>
    </row>
    <row r="357" spans="1:21" x14ac:dyDescent="0.25">
      <c r="A357" t="s">
        <v>752</v>
      </c>
      <c r="B357">
        <v>29</v>
      </c>
      <c r="C357" t="s">
        <v>22</v>
      </c>
      <c r="D357" t="s">
        <v>49</v>
      </c>
      <c r="E357">
        <v>80108</v>
      </c>
      <c r="F357">
        <v>2</v>
      </c>
      <c r="G357" t="s">
        <v>753</v>
      </c>
      <c r="H357">
        <v>1884907</v>
      </c>
      <c r="I357">
        <v>60</v>
      </c>
      <c r="J357">
        <v>6.52</v>
      </c>
      <c r="K357" t="s">
        <v>25</v>
      </c>
      <c r="L357">
        <v>1830825.7659026801</v>
      </c>
      <c r="M357">
        <v>1116947.3889834799</v>
      </c>
      <c r="N357">
        <v>18615.79</v>
      </c>
      <c r="O357" t="s">
        <v>37</v>
      </c>
      <c r="P357">
        <v>3</v>
      </c>
      <c r="Q357">
        <v>115</v>
      </c>
      <c r="R357" t="s">
        <v>34</v>
      </c>
      <c r="S357">
        <v>0</v>
      </c>
      <c r="T357" t="s">
        <v>41</v>
      </c>
      <c r="U357" t="s">
        <v>29</v>
      </c>
    </row>
    <row r="358" spans="1:21" x14ac:dyDescent="0.25">
      <c r="A358" t="s">
        <v>754</v>
      </c>
      <c r="B358">
        <v>63</v>
      </c>
      <c r="C358" t="s">
        <v>22</v>
      </c>
      <c r="D358" t="s">
        <v>23</v>
      </c>
      <c r="E358">
        <v>109018</v>
      </c>
      <c r="F358">
        <v>0</v>
      </c>
      <c r="G358" t="s">
        <v>755</v>
      </c>
      <c r="H358">
        <v>1814622</v>
      </c>
      <c r="I358">
        <v>36</v>
      </c>
      <c r="J358">
        <v>7.2</v>
      </c>
      <c r="K358" t="s">
        <v>44</v>
      </c>
      <c r="L358">
        <v>0</v>
      </c>
      <c r="M358">
        <v>1635694.5605492599</v>
      </c>
      <c r="N358">
        <v>45435.96</v>
      </c>
      <c r="O358" t="s">
        <v>37</v>
      </c>
      <c r="P358">
        <v>2</v>
      </c>
      <c r="Q358">
        <v>113</v>
      </c>
      <c r="R358" t="s">
        <v>34</v>
      </c>
      <c r="S358">
        <v>1</v>
      </c>
      <c r="T358" t="s">
        <v>38</v>
      </c>
      <c r="U358" t="s">
        <v>29</v>
      </c>
    </row>
    <row r="359" spans="1:21" x14ac:dyDescent="0.25">
      <c r="A359" t="s">
        <v>756</v>
      </c>
      <c r="B359">
        <v>59</v>
      </c>
      <c r="C359" t="s">
        <v>31</v>
      </c>
      <c r="D359" t="s">
        <v>23</v>
      </c>
      <c r="E359">
        <v>139457</v>
      </c>
      <c r="F359">
        <v>3</v>
      </c>
      <c r="G359" t="s">
        <v>757</v>
      </c>
      <c r="H359">
        <v>1586643</v>
      </c>
      <c r="I359">
        <v>36</v>
      </c>
      <c r="J359">
        <v>9.57</v>
      </c>
      <c r="K359" t="s">
        <v>33</v>
      </c>
      <c r="L359">
        <v>1543034.8197416</v>
      </c>
      <c r="M359">
        <v>533824.21144944301</v>
      </c>
      <c r="N359">
        <v>14828.45</v>
      </c>
      <c r="O359" t="s">
        <v>37</v>
      </c>
      <c r="P359">
        <v>2</v>
      </c>
      <c r="Q359">
        <v>76</v>
      </c>
      <c r="R359" t="s">
        <v>34</v>
      </c>
      <c r="S359">
        <v>3</v>
      </c>
      <c r="T359" t="s">
        <v>28</v>
      </c>
      <c r="U359" t="s">
        <v>29</v>
      </c>
    </row>
    <row r="360" spans="1:21" x14ac:dyDescent="0.25">
      <c r="A360" t="s">
        <v>758</v>
      </c>
      <c r="B360">
        <v>49</v>
      </c>
      <c r="C360" t="s">
        <v>22</v>
      </c>
      <c r="D360" t="s">
        <v>23</v>
      </c>
      <c r="E360">
        <v>178189</v>
      </c>
      <c r="F360">
        <v>0</v>
      </c>
      <c r="G360" t="s">
        <v>759</v>
      </c>
      <c r="H360">
        <v>1429932</v>
      </c>
      <c r="I360">
        <v>36</v>
      </c>
      <c r="J360">
        <v>14.9</v>
      </c>
      <c r="K360" t="s">
        <v>44</v>
      </c>
      <c r="L360">
        <v>0</v>
      </c>
      <c r="M360">
        <v>750748.11653428397</v>
      </c>
      <c r="N360">
        <v>20854.11</v>
      </c>
      <c r="O360" t="s">
        <v>26</v>
      </c>
      <c r="P360">
        <v>0</v>
      </c>
      <c r="Q360">
        <v>0</v>
      </c>
      <c r="R360" t="s">
        <v>34</v>
      </c>
      <c r="S360">
        <v>3</v>
      </c>
      <c r="T360" t="s">
        <v>38</v>
      </c>
      <c r="U360" t="s">
        <v>29</v>
      </c>
    </row>
    <row r="361" spans="1:21" x14ac:dyDescent="0.25">
      <c r="A361" t="s">
        <v>760</v>
      </c>
      <c r="B361">
        <v>62</v>
      </c>
      <c r="C361" t="s">
        <v>31</v>
      </c>
      <c r="D361" t="s">
        <v>23</v>
      </c>
      <c r="E361">
        <v>234772</v>
      </c>
      <c r="F361">
        <v>0</v>
      </c>
      <c r="G361" t="s">
        <v>761</v>
      </c>
      <c r="H361">
        <v>183498</v>
      </c>
      <c r="I361">
        <v>72</v>
      </c>
      <c r="J361">
        <v>11.59</v>
      </c>
      <c r="K361" t="s">
        <v>33</v>
      </c>
      <c r="L361">
        <v>161152.44209812299</v>
      </c>
      <c r="M361">
        <v>71912.130597487601</v>
      </c>
      <c r="N361">
        <v>998.78</v>
      </c>
      <c r="O361" t="s">
        <v>26</v>
      </c>
      <c r="P361">
        <v>2</v>
      </c>
      <c r="Q361">
        <v>150</v>
      </c>
      <c r="R361" t="s">
        <v>27</v>
      </c>
      <c r="S361">
        <v>3</v>
      </c>
      <c r="T361" t="s">
        <v>38</v>
      </c>
      <c r="U361" t="s">
        <v>29</v>
      </c>
    </row>
    <row r="362" spans="1:21" x14ac:dyDescent="0.25">
      <c r="A362" t="s">
        <v>762</v>
      </c>
      <c r="B362">
        <v>46</v>
      </c>
      <c r="C362" t="s">
        <v>31</v>
      </c>
      <c r="D362" t="s">
        <v>23</v>
      </c>
      <c r="E362">
        <v>46910</v>
      </c>
      <c r="F362">
        <v>2</v>
      </c>
      <c r="G362" t="s">
        <v>763</v>
      </c>
      <c r="H362">
        <v>1352600</v>
      </c>
      <c r="I362">
        <v>24</v>
      </c>
      <c r="J362">
        <v>13.29</v>
      </c>
      <c r="K362" t="s">
        <v>33</v>
      </c>
      <c r="L362">
        <v>1375991.16395914</v>
      </c>
      <c r="M362">
        <v>1294342.87601373</v>
      </c>
      <c r="N362">
        <v>53930.95</v>
      </c>
      <c r="O362" t="s">
        <v>26</v>
      </c>
      <c r="P362">
        <v>2</v>
      </c>
      <c r="Q362">
        <v>109</v>
      </c>
      <c r="R362" t="s">
        <v>27</v>
      </c>
      <c r="S362">
        <v>6</v>
      </c>
      <c r="T362" t="s">
        <v>45</v>
      </c>
      <c r="U362" t="s">
        <v>29</v>
      </c>
    </row>
    <row r="363" spans="1:21" x14ac:dyDescent="0.25">
      <c r="A363" t="s">
        <v>764</v>
      </c>
      <c r="B363">
        <v>55</v>
      </c>
      <c r="C363" t="s">
        <v>31</v>
      </c>
      <c r="D363" t="s">
        <v>23</v>
      </c>
      <c r="E363">
        <v>141888</v>
      </c>
      <c r="F363">
        <v>0</v>
      </c>
      <c r="G363" t="s">
        <v>765</v>
      </c>
      <c r="H363">
        <v>1753834</v>
      </c>
      <c r="I363">
        <v>72</v>
      </c>
      <c r="J363">
        <v>17.809999999999999</v>
      </c>
      <c r="K363" t="s">
        <v>33</v>
      </c>
      <c r="L363">
        <v>1601438.79978539</v>
      </c>
      <c r="M363">
        <v>1475467.2832253701</v>
      </c>
      <c r="N363">
        <v>20492.599999999999</v>
      </c>
      <c r="O363" t="s">
        <v>26</v>
      </c>
      <c r="P363">
        <v>3</v>
      </c>
      <c r="Q363">
        <v>78</v>
      </c>
      <c r="R363" t="s">
        <v>34</v>
      </c>
      <c r="S363">
        <v>2</v>
      </c>
      <c r="T363" t="s">
        <v>45</v>
      </c>
      <c r="U363" t="s">
        <v>29</v>
      </c>
    </row>
    <row r="364" spans="1:21" x14ac:dyDescent="0.25">
      <c r="A364" t="s">
        <v>766</v>
      </c>
      <c r="B364">
        <v>45</v>
      </c>
      <c r="C364" t="s">
        <v>22</v>
      </c>
      <c r="D364" t="s">
        <v>23</v>
      </c>
      <c r="E364">
        <v>244104</v>
      </c>
      <c r="F364">
        <v>2</v>
      </c>
      <c r="G364" t="s">
        <v>767</v>
      </c>
      <c r="H364">
        <v>1188585</v>
      </c>
      <c r="I364">
        <v>60</v>
      </c>
      <c r="J364">
        <v>14.98</v>
      </c>
      <c r="K364" t="s">
        <v>25</v>
      </c>
      <c r="L364">
        <v>831231.55860310595</v>
      </c>
      <c r="M364">
        <v>877296.20520587801</v>
      </c>
      <c r="N364">
        <v>14621.6</v>
      </c>
      <c r="O364" t="s">
        <v>37</v>
      </c>
      <c r="P364">
        <v>2</v>
      </c>
      <c r="Q364">
        <v>145</v>
      </c>
      <c r="R364" t="s">
        <v>34</v>
      </c>
      <c r="S364">
        <v>3</v>
      </c>
      <c r="T364" t="s">
        <v>45</v>
      </c>
      <c r="U364" t="s">
        <v>29</v>
      </c>
    </row>
    <row r="365" spans="1:21" x14ac:dyDescent="0.25">
      <c r="A365" t="s">
        <v>768</v>
      </c>
      <c r="B365">
        <v>44</v>
      </c>
      <c r="C365" t="s">
        <v>22</v>
      </c>
      <c r="D365" t="s">
        <v>23</v>
      </c>
      <c r="E365">
        <v>70754</v>
      </c>
      <c r="F365">
        <v>3</v>
      </c>
      <c r="G365" t="s">
        <v>769</v>
      </c>
      <c r="H365">
        <v>773858</v>
      </c>
      <c r="I365">
        <v>12</v>
      </c>
      <c r="J365">
        <v>10.65</v>
      </c>
      <c r="K365" t="s">
        <v>44</v>
      </c>
      <c r="L365">
        <v>0</v>
      </c>
      <c r="M365">
        <v>486651.66014719498</v>
      </c>
      <c r="N365">
        <v>40554.31</v>
      </c>
      <c r="O365" t="s">
        <v>68</v>
      </c>
      <c r="P365">
        <v>0</v>
      </c>
      <c r="Q365">
        <v>0</v>
      </c>
      <c r="R365" t="s">
        <v>34</v>
      </c>
      <c r="S365">
        <v>3</v>
      </c>
      <c r="T365" t="s">
        <v>45</v>
      </c>
      <c r="U365" t="s">
        <v>29</v>
      </c>
    </row>
    <row r="366" spans="1:21" x14ac:dyDescent="0.25">
      <c r="A366" t="s">
        <v>770</v>
      </c>
      <c r="B366">
        <v>33</v>
      </c>
      <c r="C366" t="s">
        <v>22</v>
      </c>
      <c r="D366" t="s">
        <v>23</v>
      </c>
      <c r="E366">
        <v>208510</v>
      </c>
      <c r="F366">
        <v>3</v>
      </c>
      <c r="G366" t="s">
        <v>771</v>
      </c>
      <c r="H366">
        <v>473159</v>
      </c>
      <c r="I366">
        <v>72</v>
      </c>
      <c r="J366">
        <v>10.8</v>
      </c>
      <c r="K366" t="s">
        <v>44</v>
      </c>
      <c r="L366">
        <v>0</v>
      </c>
      <c r="M366">
        <v>396759.25140034198</v>
      </c>
      <c r="N366">
        <v>5510.55</v>
      </c>
      <c r="O366" t="s">
        <v>26</v>
      </c>
      <c r="P366">
        <v>0</v>
      </c>
      <c r="Q366">
        <v>0</v>
      </c>
      <c r="R366" t="s">
        <v>34</v>
      </c>
      <c r="S366">
        <v>3</v>
      </c>
      <c r="T366" t="s">
        <v>38</v>
      </c>
      <c r="U366" t="s">
        <v>29</v>
      </c>
    </row>
    <row r="367" spans="1:21" x14ac:dyDescent="0.25">
      <c r="A367" t="s">
        <v>772</v>
      </c>
      <c r="B367">
        <v>27</v>
      </c>
      <c r="C367" t="s">
        <v>22</v>
      </c>
      <c r="D367" t="s">
        <v>23</v>
      </c>
      <c r="E367">
        <v>124847</v>
      </c>
      <c r="F367">
        <v>0</v>
      </c>
      <c r="G367" t="s">
        <v>773</v>
      </c>
      <c r="H367">
        <v>771755</v>
      </c>
      <c r="I367">
        <v>36</v>
      </c>
      <c r="J367">
        <v>13.04</v>
      </c>
      <c r="K367" t="s">
        <v>25</v>
      </c>
      <c r="L367">
        <v>704123.39838667098</v>
      </c>
      <c r="M367">
        <v>349636.14556790498</v>
      </c>
      <c r="N367">
        <v>9712.1200000000008</v>
      </c>
      <c r="O367" t="s">
        <v>37</v>
      </c>
      <c r="P367">
        <v>2</v>
      </c>
      <c r="Q367">
        <v>158</v>
      </c>
      <c r="R367" t="s">
        <v>27</v>
      </c>
      <c r="S367">
        <v>1</v>
      </c>
      <c r="T367" t="s">
        <v>45</v>
      </c>
      <c r="U367" t="s">
        <v>29</v>
      </c>
    </row>
    <row r="368" spans="1:21" x14ac:dyDescent="0.25">
      <c r="A368" t="s">
        <v>774</v>
      </c>
      <c r="B368">
        <v>56</v>
      </c>
      <c r="C368" t="s">
        <v>22</v>
      </c>
      <c r="D368" t="s">
        <v>49</v>
      </c>
      <c r="E368">
        <v>175443</v>
      </c>
      <c r="F368">
        <v>1</v>
      </c>
      <c r="G368" t="s">
        <v>775</v>
      </c>
      <c r="H368">
        <v>94816</v>
      </c>
      <c r="I368">
        <v>12</v>
      </c>
      <c r="J368">
        <v>13.65</v>
      </c>
      <c r="K368" t="s">
        <v>44</v>
      </c>
      <c r="L368">
        <v>0</v>
      </c>
      <c r="M368">
        <v>47673.169024362702</v>
      </c>
      <c r="N368">
        <v>3972.76</v>
      </c>
      <c r="O368" t="s">
        <v>26</v>
      </c>
      <c r="P368">
        <v>1</v>
      </c>
      <c r="Q368">
        <v>15</v>
      </c>
      <c r="R368" t="s">
        <v>34</v>
      </c>
      <c r="S368">
        <v>2</v>
      </c>
      <c r="T368" t="s">
        <v>28</v>
      </c>
      <c r="U368" t="s">
        <v>29</v>
      </c>
    </row>
    <row r="369" spans="1:21" x14ac:dyDescent="0.25">
      <c r="A369" t="s">
        <v>776</v>
      </c>
      <c r="B369">
        <v>40</v>
      </c>
      <c r="C369" t="s">
        <v>22</v>
      </c>
      <c r="D369" t="s">
        <v>23</v>
      </c>
      <c r="E369">
        <v>197573</v>
      </c>
      <c r="F369">
        <v>2</v>
      </c>
      <c r="G369" t="s">
        <v>777</v>
      </c>
      <c r="H369">
        <v>54138</v>
      </c>
      <c r="I369">
        <v>60</v>
      </c>
      <c r="J369">
        <v>11.51</v>
      </c>
      <c r="K369" t="s">
        <v>33</v>
      </c>
      <c r="L369">
        <v>30981.929387716598</v>
      </c>
      <c r="M369">
        <v>40982.549858288097</v>
      </c>
      <c r="N369">
        <v>683.04</v>
      </c>
      <c r="O369" t="s">
        <v>26</v>
      </c>
      <c r="P369">
        <v>2</v>
      </c>
      <c r="Q369">
        <v>156</v>
      </c>
      <c r="R369" t="s">
        <v>27</v>
      </c>
      <c r="S369">
        <v>6</v>
      </c>
      <c r="T369" t="s">
        <v>45</v>
      </c>
      <c r="U369" t="s">
        <v>29</v>
      </c>
    </row>
    <row r="370" spans="1:21" x14ac:dyDescent="0.25">
      <c r="A370" t="s">
        <v>778</v>
      </c>
      <c r="B370">
        <v>21</v>
      </c>
      <c r="C370" t="s">
        <v>22</v>
      </c>
      <c r="D370" t="s">
        <v>58</v>
      </c>
      <c r="E370">
        <v>207018</v>
      </c>
      <c r="F370">
        <v>2</v>
      </c>
      <c r="G370" t="s">
        <v>779</v>
      </c>
      <c r="H370">
        <v>1189752</v>
      </c>
      <c r="I370">
        <v>60</v>
      </c>
      <c r="J370">
        <v>13.38</v>
      </c>
      <c r="K370" t="s">
        <v>44</v>
      </c>
      <c r="L370">
        <v>0</v>
      </c>
      <c r="M370">
        <v>502050.70062440098</v>
      </c>
      <c r="N370">
        <v>8367.51</v>
      </c>
      <c r="O370" t="s">
        <v>26</v>
      </c>
      <c r="P370">
        <v>0</v>
      </c>
      <c r="Q370">
        <v>0</v>
      </c>
      <c r="R370" t="s">
        <v>27</v>
      </c>
      <c r="S370">
        <v>5</v>
      </c>
      <c r="T370" t="s">
        <v>45</v>
      </c>
      <c r="U370" t="s">
        <v>29</v>
      </c>
    </row>
    <row r="371" spans="1:21" x14ac:dyDescent="0.25">
      <c r="A371" t="s">
        <v>780</v>
      </c>
      <c r="B371">
        <v>28</v>
      </c>
      <c r="C371" t="s">
        <v>22</v>
      </c>
      <c r="D371" t="s">
        <v>58</v>
      </c>
      <c r="E371">
        <v>53467</v>
      </c>
      <c r="F371">
        <v>0</v>
      </c>
      <c r="G371" t="s">
        <v>781</v>
      </c>
      <c r="H371">
        <v>1436665</v>
      </c>
      <c r="I371">
        <v>48</v>
      </c>
      <c r="J371">
        <v>5.31</v>
      </c>
      <c r="K371" t="s">
        <v>44</v>
      </c>
      <c r="L371">
        <v>0</v>
      </c>
      <c r="M371">
        <v>226290.322217134</v>
      </c>
      <c r="N371">
        <v>4714.38</v>
      </c>
      <c r="O371" t="s">
        <v>26</v>
      </c>
      <c r="P371">
        <v>0</v>
      </c>
      <c r="Q371">
        <v>0</v>
      </c>
      <c r="R371" t="s">
        <v>34</v>
      </c>
      <c r="S371">
        <v>2</v>
      </c>
      <c r="T371" t="s">
        <v>45</v>
      </c>
      <c r="U371" t="s">
        <v>29</v>
      </c>
    </row>
    <row r="372" spans="1:21" x14ac:dyDescent="0.25">
      <c r="A372" t="s">
        <v>782</v>
      </c>
      <c r="B372">
        <v>36</v>
      </c>
      <c r="C372" t="s">
        <v>22</v>
      </c>
      <c r="D372" t="s">
        <v>23</v>
      </c>
      <c r="E372">
        <v>163697</v>
      </c>
      <c r="F372">
        <v>2</v>
      </c>
      <c r="G372" t="s">
        <v>783</v>
      </c>
      <c r="H372">
        <v>840449</v>
      </c>
      <c r="I372">
        <v>24</v>
      </c>
      <c r="J372">
        <v>10.59</v>
      </c>
      <c r="K372" t="s">
        <v>44</v>
      </c>
      <c r="L372">
        <v>0</v>
      </c>
      <c r="M372">
        <v>140271.90293332099</v>
      </c>
      <c r="N372">
        <v>5844.66</v>
      </c>
      <c r="O372" t="s">
        <v>26</v>
      </c>
      <c r="P372">
        <v>3</v>
      </c>
      <c r="Q372">
        <v>25</v>
      </c>
      <c r="R372" t="s">
        <v>65</v>
      </c>
      <c r="S372">
        <v>5</v>
      </c>
      <c r="T372" t="s">
        <v>41</v>
      </c>
      <c r="U372" t="s">
        <v>79</v>
      </c>
    </row>
    <row r="373" spans="1:21" x14ac:dyDescent="0.25">
      <c r="A373" t="s">
        <v>784</v>
      </c>
      <c r="B373">
        <v>34</v>
      </c>
      <c r="C373" t="s">
        <v>22</v>
      </c>
      <c r="D373" t="s">
        <v>23</v>
      </c>
      <c r="E373">
        <v>48893</v>
      </c>
      <c r="F373">
        <v>2</v>
      </c>
      <c r="G373" t="s">
        <v>785</v>
      </c>
      <c r="H373">
        <v>846883</v>
      </c>
      <c r="I373">
        <v>48</v>
      </c>
      <c r="J373">
        <v>8.6300000000000008</v>
      </c>
      <c r="K373" t="s">
        <v>44</v>
      </c>
      <c r="L373">
        <v>0</v>
      </c>
      <c r="M373">
        <v>172617.21573236099</v>
      </c>
      <c r="N373">
        <v>3596.19</v>
      </c>
      <c r="O373" t="s">
        <v>37</v>
      </c>
      <c r="P373">
        <v>2</v>
      </c>
      <c r="Q373">
        <v>53</v>
      </c>
      <c r="R373" t="s">
        <v>34</v>
      </c>
      <c r="S373">
        <v>1</v>
      </c>
      <c r="T373" t="s">
        <v>28</v>
      </c>
      <c r="U373" t="s">
        <v>29</v>
      </c>
    </row>
    <row r="374" spans="1:21" x14ac:dyDescent="0.25">
      <c r="A374" t="s">
        <v>786</v>
      </c>
      <c r="B374">
        <v>32</v>
      </c>
      <c r="C374" t="s">
        <v>22</v>
      </c>
      <c r="D374" t="s">
        <v>23</v>
      </c>
      <c r="E374">
        <v>91329</v>
      </c>
      <c r="F374">
        <v>1</v>
      </c>
      <c r="G374" t="s">
        <v>787</v>
      </c>
      <c r="H374">
        <v>1816892</v>
      </c>
      <c r="I374">
        <v>60</v>
      </c>
      <c r="J374">
        <v>6.68</v>
      </c>
      <c r="K374" t="s">
        <v>25</v>
      </c>
      <c r="L374">
        <v>1954586.7277879301</v>
      </c>
      <c r="M374">
        <v>1603794.5350392601</v>
      </c>
      <c r="N374">
        <v>26729.91</v>
      </c>
      <c r="O374" t="s">
        <v>37</v>
      </c>
      <c r="P374">
        <v>2</v>
      </c>
      <c r="Q374">
        <v>160</v>
      </c>
      <c r="R374" t="s">
        <v>34</v>
      </c>
      <c r="S374">
        <v>3</v>
      </c>
      <c r="T374" t="s">
        <v>28</v>
      </c>
      <c r="U374" t="s">
        <v>29</v>
      </c>
    </row>
    <row r="375" spans="1:21" x14ac:dyDescent="0.25">
      <c r="A375" t="s">
        <v>788</v>
      </c>
      <c r="B375">
        <v>43</v>
      </c>
      <c r="C375" t="s">
        <v>31</v>
      </c>
      <c r="D375" t="s">
        <v>23</v>
      </c>
      <c r="E375">
        <v>46007</v>
      </c>
      <c r="F375">
        <v>1</v>
      </c>
      <c r="G375" t="s">
        <v>789</v>
      </c>
      <c r="H375">
        <v>406007</v>
      </c>
      <c r="I375">
        <v>36</v>
      </c>
      <c r="J375">
        <v>6.29</v>
      </c>
      <c r="K375" t="s">
        <v>33</v>
      </c>
      <c r="L375">
        <v>549593.22245193401</v>
      </c>
      <c r="M375">
        <v>213155.210997799</v>
      </c>
      <c r="N375">
        <v>5920.98</v>
      </c>
      <c r="O375" t="s">
        <v>26</v>
      </c>
      <c r="P375">
        <v>3</v>
      </c>
      <c r="Q375">
        <v>54</v>
      </c>
      <c r="R375" t="s">
        <v>34</v>
      </c>
      <c r="S375">
        <v>0</v>
      </c>
      <c r="T375" t="s">
        <v>38</v>
      </c>
      <c r="U375" t="s">
        <v>29</v>
      </c>
    </row>
    <row r="376" spans="1:21" x14ac:dyDescent="0.25">
      <c r="A376" t="s">
        <v>790</v>
      </c>
      <c r="B376">
        <v>35</v>
      </c>
      <c r="C376" t="s">
        <v>31</v>
      </c>
      <c r="D376" t="s">
        <v>49</v>
      </c>
      <c r="E376">
        <v>237374</v>
      </c>
      <c r="F376">
        <v>0</v>
      </c>
      <c r="G376" t="s">
        <v>791</v>
      </c>
      <c r="H376">
        <v>846710</v>
      </c>
      <c r="I376">
        <v>36</v>
      </c>
      <c r="J376">
        <v>12.84</v>
      </c>
      <c r="K376" t="s">
        <v>25</v>
      </c>
      <c r="L376">
        <v>1037462.82719385</v>
      </c>
      <c r="M376">
        <v>627915.16785309406</v>
      </c>
      <c r="N376">
        <v>17442.09</v>
      </c>
      <c r="O376" t="s">
        <v>26</v>
      </c>
      <c r="P376">
        <v>0</v>
      </c>
      <c r="Q376">
        <v>0</v>
      </c>
      <c r="R376" t="s">
        <v>34</v>
      </c>
      <c r="S376">
        <v>0</v>
      </c>
      <c r="T376" t="s">
        <v>38</v>
      </c>
      <c r="U376" t="s">
        <v>29</v>
      </c>
    </row>
    <row r="377" spans="1:21" x14ac:dyDescent="0.25">
      <c r="A377" t="s">
        <v>792</v>
      </c>
      <c r="B377">
        <v>48</v>
      </c>
      <c r="C377" t="s">
        <v>22</v>
      </c>
      <c r="D377" t="s">
        <v>23</v>
      </c>
      <c r="E377">
        <v>185604</v>
      </c>
      <c r="F377">
        <v>1</v>
      </c>
      <c r="G377" t="s">
        <v>793</v>
      </c>
      <c r="H377">
        <v>271552</v>
      </c>
      <c r="I377">
        <v>12</v>
      </c>
      <c r="J377">
        <v>11.81</v>
      </c>
      <c r="K377" t="s">
        <v>33</v>
      </c>
      <c r="L377">
        <v>233641.722364774</v>
      </c>
      <c r="M377">
        <v>123180.98431196201</v>
      </c>
      <c r="N377">
        <v>10265.08</v>
      </c>
      <c r="O377" t="s">
        <v>37</v>
      </c>
      <c r="P377">
        <v>3</v>
      </c>
      <c r="Q377">
        <v>67</v>
      </c>
      <c r="R377" t="s">
        <v>34</v>
      </c>
      <c r="S377">
        <v>0</v>
      </c>
      <c r="T377" t="s">
        <v>45</v>
      </c>
      <c r="U377" t="s">
        <v>29</v>
      </c>
    </row>
    <row r="378" spans="1:21" x14ac:dyDescent="0.25">
      <c r="A378" t="s">
        <v>794</v>
      </c>
      <c r="B378">
        <v>54</v>
      </c>
      <c r="C378" t="s">
        <v>31</v>
      </c>
      <c r="D378" t="s">
        <v>23</v>
      </c>
      <c r="E378">
        <v>69253</v>
      </c>
      <c r="F378">
        <v>0</v>
      </c>
      <c r="G378" t="s">
        <v>795</v>
      </c>
      <c r="H378">
        <v>93764</v>
      </c>
      <c r="I378">
        <v>24</v>
      </c>
      <c r="J378">
        <v>8.3000000000000007</v>
      </c>
      <c r="K378" t="s">
        <v>33</v>
      </c>
      <c r="L378">
        <v>55046.144519750698</v>
      </c>
      <c r="M378">
        <v>31208.395946131601</v>
      </c>
      <c r="N378">
        <v>1300.3499999999999</v>
      </c>
      <c r="O378" t="s">
        <v>37</v>
      </c>
      <c r="P378">
        <v>1</v>
      </c>
      <c r="Q378">
        <v>169</v>
      </c>
      <c r="R378" t="s">
        <v>34</v>
      </c>
      <c r="S378">
        <v>0</v>
      </c>
      <c r="T378" t="s">
        <v>41</v>
      </c>
      <c r="U378" t="s">
        <v>29</v>
      </c>
    </row>
    <row r="379" spans="1:21" x14ac:dyDescent="0.25">
      <c r="A379" t="s">
        <v>796</v>
      </c>
      <c r="B379">
        <v>22</v>
      </c>
      <c r="C379" t="s">
        <v>22</v>
      </c>
      <c r="D379" t="s">
        <v>23</v>
      </c>
      <c r="E379">
        <v>27323</v>
      </c>
      <c r="F379">
        <v>3</v>
      </c>
      <c r="G379" t="s">
        <v>797</v>
      </c>
      <c r="H379">
        <v>173030</v>
      </c>
      <c r="I379">
        <v>72</v>
      </c>
      <c r="J379">
        <v>11.12</v>
      </c>
      <c r="K379" t="s">
        <v>33</v>
      </c>
      <c r="L379">
        <v>121492.910547949</v>
      </c>
      <c r="M379">
        <v>71370.194677960593</v>
      </c>
      <c r="N379">
        <v>991.25</v>
      </c>
      <c r="O379" t="s">
        <v>37</v>
      </c>
      <c r="P379">
        <v>2</v>
      </c>
      <c r="Q379">
        <v>20</v>
      </c>
      <c r="R379" t="s">
        <v>27</v>
      </c>
      <c r="S379">
        <v>6</v>
      </c>
      <c r="T379" t="s">
        <v>38</v>
      </c>
      <c r="U379" t="s">
        <v>29</v>
      </c>
    </row>
    <row r="380" spans="1:21" x14ac:dyDescent="0.25">
      <c r="A380" t="s">
        <v>798</v>
      </c>
      <c r="B380">
        <v>52</v>
      </c>
      <c r="C380" t="s">
        <v>31</v>
      </c>
      <c r="D380" t="s">
        <v>23</v>
      </c>
      <c r="E380">
        <v>126335</v>
      </c>
      <c r="F380">
        <v>0</v>
      </c>
      <c r="G380" t="s">
        <v>799</v>
      </c>
      <c r="H380">
        <v>968638</v>
      </c>
      <c r="I380">
        <v>36</v>
      </c>
      <c r="J380">
        <v>11.4</v>
      </c>
      <c r="K380" t="s">
        <v>44</v>
      </c>
      <c r="L380">
        <v>0</v>
      </c>
      <c r="M380">
        <v>789211.47874301102</v>
      </c>
      <c r="N380">
        <v>21922.54</v>
      </c>
      <c r="O380" t="s">
        <v>26</v>
      </c>
      <c r="P380">
        <v>0</v>
      </c>
      <c r="Q380">
        <v>0</v>
      </c>
      <c r="R380" t="s">
        <v>65</v>
      </c>
      <c r="S380">
        <v>1</v>
      </c>
      <c r="T380" t="s">
        <v>38</v>
      </c>
      <c r="U380" t="s">
        <v>29</v>
      </c>
    </row>
    <row r="381" spans="1:21" x14ac:dyDescent="0.25">
      <c r="A381" t="s">
        <v>800</v>
      </c>
      <c r="B381">
        <v>43</v>
      </c>
      <c r="C381" t="s">
        <v>22</v>
      </c>
      <c r="D381" t="s">
        <v>49</v>
      </c>
      <c r="E381">
        <v>127356</v>
      </c>
      <c r="F381">
        <v>3</v>
      </c>
      <c r="G381" t="s">
        <v>801</v>
      </c>
      <c r="H381">
        <v>1947951</v>
      </c>
      <c r="I381">
        <v>72</v>
      </c>
      <c r="J381">
        <v>7.54</v>
      </c>
      <c r="K381" t="s">
        <v>33</v>
      </c>
      <c r="L381">
        <v>2036563.9542572601</v>
      </c>
      <c r="M381">
        <v>1290896.4383739999</v>
      </c>
      <c r="N381">
        <v>17929.12</v>
      </c>
      <c r="O381" t="s">
        <v>68</v>
      </c>
      <c r="P381">
        <v>11</v>
      </c>
      <c r="Q381">
        <v>40</v>
      </c>
      <c r="R381" t="s">
        <v>27</v>
      </c>
      <c r="S381">
        <v>5</v>
      </c>
      <c r="T381" t="s">
        <v>45</v>
      </c>
      <c r="U381" t="s">
        <v>29</v>
      </c>
    </row>
    <row r="382" spans="1:21" x14ac:dyDescent="0.25">
      <c r="A382" t="s">
        <v>802</v>
      </c>
      <c r="B382">
        <v>42</v>
      </c>
      <c r="C382" t="s">
        <v>31</v>
      </c>
      <c r="D382" t="s">
        <v>23</v>
      </c>
      <c r="E382">
        <v>125944</v>
      </c>
      <c r="F382">
        <v>0</v>
      </c>
      <c r="G382" t="s">
        <v>803</v>
      </c>
      <c r="H382">
        <v>1718531</v>
      </c>
      <c r="I382">
        <v>36</v>
      </c>
      <c r="J382">
        <v>13.48</v>
      </c>
      <c r="K382" t="s">
        <v>44</v>
      </c>
      <c r="L382">
        <v>0</v>
      </c>
      <c r="M382">
        <v>1622079.8258217501</v>
      </c>
      <c r="N382">
        <v>45057.77</v>
      </c>
      <c r="O382" t="s">
        <v>26</v>
      </c>
      <c r="P382">
        <v>3</v>
      </c>
      <c r="Q382">
        <v>61</v>
      </c>
      <c r="R382" t="s">
        <v>34</v>
      </c>
      <c r="S382">
        <v>1</v>
      </c>
      <c r="T382" t="s">
        <v>45</v>
      </c>
      <c r="U382" t="s">
        <v>29</v>
      </c>
    </row>
    <row r="383" spans="1:21" x14ac:dyDescent="0.25">
      <c r="A383" t="s">
        <v>804</v>
      </c>
      <c r="B383">
        <v>45</v>
      </c>
      <c r="C383" t="s">
        <v>31</v>
      </c>
      <c r="D383" t="s">
        <v>23</v>
      </c>
      <c r="E383">
        <v>219451</v>
      </c>
      <c r="F383">
        <v>2</v>
      </c>
      <c r="G383" t="s">
        <v>805</v>
      </c>
      <c r="H383">
        <v>366462</v>
      </c>
      <c r="I383">
        <v>60</v>
      </c>
      <c r="J383">
        <v>15.15</v>
      </c>
      <c r="K383" t="s">
        <v>44</v>
      </c>
      <c r="L383">
        <v>0</v>
      </c>
      <c r="M383">
        <v>260823.57531014099</v>
      </c>
      <c r="N383">
        <v>4347.0600000000004</v>
      </c>
      <c r="O383" t="s">
        <v>37</v>
      </c>
      <c r="P383">
        <v>0</v>
      </c>
      <c r="Q383">
        <v>0</v>
      </c>
      <c r="R383" t="s">
        <v>27</v>
      </c>
      <c r="S383">
        <v>8</v>
      </c>
      <c r="T383" t="s">
        <v>38</v>
      </c>
      <c r="U383" t="s">
        <v>29</v>
      </c>
    </row>
    <row r="384" spans="1:21" x14ac:dyDescent="0.25">
      <c r="A384" t="s">
        <v>806</v>
      </c>
      <c r="B384">
        <v>42</v>
      </c>
      <c r="C384" t="s">
        <v>31</v>
      </c>
      <c r="D384" t="s">
        <v>23</v>
      </c>
      <c r="E384">
        <v>160282</v>
      </c>
      <c r="F384">
        <v>1</v>
      </c>
      <c r="G384" t="s">
        <v>807</v>
      </c>
      <c r="H384">
        <v>939855</v>
      </c>
      <c r="I384">
        <v>36</v>
      </c>
      <c r="J384">
        <v>15.29</v>
      </c>
      <c r="K384" t="s">
        <v>25</v>
      </c>
      <c r="L384">
        <v>664531.13510296005</v>
      </c>
      <c r="M384">
        <v>576284.75176152703</v>
      </c>
      <c r="N384">
        <v>16007.91</v>
      </c>
      <c r="O384" t="s">
        <v>26</v>
      </c>
      <c r="P384">
        <v>1</v>
      </c>
      <c r="Q384">
        <v>44</v>
      </c>
      <c r="R384" t="s">
        <v>27</v>
      </c>
      <c r="S384">
        <v>0</v>
      </c>
      <c r="T384" t="s">
        <v>38</v>
      </c>
      <c r="U384" t="s">
        <v>29</v>
      </c>
    </row>
    <row r="385" spans="1:21" x14ac:dyDescent="0.25">
      <c r="A385" t="s">
        <v>808</v>
      </c>
      <c r="B385">
        <v>42</v>
      </c>
      <c r="C385" t="s">
        <v>31</v>
      </c>
      <c r="D385" t="s">
        <v>58</v>
      </c>
      <c r="E385">
        <v>31456</v>
      </c>
      <c r="F385">
        <v>3</v>
      </c>
      <c r="G385" t="s">
        <v>809</v>
      </c>
      <c r="H385">
        <v>1464718</v>
      </c>
      <c r="I385">
        <v>36</v>
      </c>
      <c r="J385">
        <v>12.83</v>
      </c>
      <c r="K385" t="s">
        <v>44</v>
      </c>
      <c r="L385">
        <v>0</v>
      </c>
      <c r="M385">
        <v>950860.37010074197</v>
      </c>
      <c r="N385">
        <v>26412.79</v>
      </c>
      <c r="O385" t="s">
        <v>37</v>
      </c>
      <c r="P385">
        <v>2</v>
      </c>
      <c r="Q385">
        <v>141</v>
      </c>
      <c r="R385" t="s">
        <v>27</v>
      </c>
      <c r="S385">
        <v>9</v>
      </c>
      <c r="T385" t="s">
        <v>28</v>
      </c>
      <c r="U385" t="s">
        <v>29</v>
      </c>
    </row>
    <row r="386" spans="1:21" x14ac:dyDescent="0.25">
      <c r="A386" t="s">
        <v>810</v>
      </c>
      <c r="B386">
        <v>62</v>
      </c>
      <c r="C386" t="s">
        <v>22</v>
      </c>
      <c r="D386" t="s">
        <v>23</v>
      </c>
      <c r="E386">
        <v>46367</v>
      </c>
      <c r="F386">
        <v>0</v>
      </c>
      <c r="G386" t="s">
        <v>811</v>
      </c>
      <c r="H386">
        <v>110128</v>
      </c>
      <c r="I386">
        <v>24</v>
      </c>
      <c r="J386">
        <v>11.65</v>
      </c>
      <c r="K386" t="s">
        <v>44</v>
      </c>
      <c r="L386">
        <v>0</v>
      </c>
      <c r="M386">
        <v>104416.1336972</v>
      </c>
      <c r="N386">
        <v>4350.67</v>
      </c>
      <c r="O386" t="s">
        <v>26</v>
      </c>
      <c r="P386">
        <v>3</v>
      </c>
      <c r="Q386">
        <v>19</v>
      </c>
      <c r="R386" t="s">
        <v>27</v>
      </c>
      <c r="S386">
        <v>8</v>
      </c>
      <c r="T386" t="s">
        <v>41</v>
      </c>
      <c r="U386" t="s">
        <v>29</v>
      </c>
    </row>
    <row r="387" spans="1:21" x14ac:dyDescent="0.25">
      <c r="A387" t="s">
        <v>812</v>
      </c>
      <c r="B387">
        <v>26</v>
      </c>
      <c r="C387" t="s">
        <v>22</v>
      </c>
      <c r="D387" t="s">
        <v>23</v>
      </c>
      <c r="E387">
        <v>69624</v>
      </c>
      <c r="F387">
        <v>1</v>
      </c>
      <c r="G387" t="s">
        <v>813</v>
      </c>
      <c r="H387">
        <v>269128</v>
      </c>
      <c r="I387">
        <v>36</v>
      </c>
      <c r="J387">
        <v>5.79</v>
      </c>
      <c r="K387" t="s">
        <v>44</v>
      </c>
      <c r="L387">
        <v>0</v>
      </c>
      <c r="M387">
        <v>217827.04586785001</v>
      </c>
      <c r="N387">
        <v>6050.75</v>
      </c>
      <c r="O387" t="s">
        <v>26</v>
      </c>
      <c r="P387">
        <v>0</v>
      </c>
      <c r="Q387">
        <v>0</v>
      </c>
      <c r="R387" t="s">
        <v>27</v>
      </c>
      <c r="S387">
        <v>8</v>
      </c>
      <c r="T387" t="s">
        <v>28</v>
      </c>
      <c r="U387" t="s">
        <v>29</v>
      </c>
    </row>
    <row r="388" spans="1:21" x14ac:dyDescent="0.25">
      <c r="A388" t="s">
        <v>814</v>
      </c>
      <c r="B388">
        <v>35</v>
      </c>
      <c r="C388" t="s">
        <v>31</v>
      </c>
      <c r="D388" t="s">
        <v>49</v>
      </c>
      <c r="E388">
        <v>156178</v>
      </c>
      <c r="F388">
        <v>0</v>
      </c>
      <c r="G388" t="s">
        <v>815</v>
      </c>
      <c r="H388">
        <v>858301</v>
      </c>
      <c r="I388">
        <v>48</v>
      </c>
      <c r="J388">
        <v>8.74</v>
      </c>
      <c r="K388" t="s">
        <v>44</v>
      </c>
      <c r="L388">
        <v>0</v>
      </c>
      <c r="M388">
        <v>104401.256265566</v>
      </c>
      <c r="N388">
        <v>2175.0300000000002</v>
      </c>
      <c r="O388" t="s">
        <v>26</v>
      </c>
      <c r="P388">
        <v>2</v>
      </c>
      <c r="Q388">
        <v>40</v>
      </c>
      <c r="R388" t="s">
        <v>34</v>
      </c>
      <c r="S388">
        <v>2</v>
      </c>
      <c r="T388" t="s">
        <v>38</v>
      </c>
      <c r="U388" t="s">
        <v>29</v>
      </c>
    </row>
    <row r="389" spans="1:21" x14ac:dyDescent="0.25">
      <c r="A389" t="s">
        <v>816</v>
      </c>
      <c r="B389">
        <v>63</v>
      </c>
      <c r="C389" t="s">
        <v>22</v>
      </c>
      <c r="D389" t="s">
        <v>23</v>
      </c>
      <c r="E389">
        <v>249565</v>
      </c>
      <c r="F389">
        <v>1</v>
      </c>
      <c r="G389" t="s">
        <v>817</v>
      </c>
      <c r="H389">
        <v>1332116</v>
      </c>
      <c r="I389">
        <v>72</v>
      </c>
      <c r="J389">
        <v>6.21</v>
      </c>
      <c r="K389" t="s">
        <v>64</v>
      </c>
      <c r="L389">
        <v>1390693.2851124899</v>
      </c>
      <c r="M389">
        <v>773594.03191174997</v>
      </c>
      <c r="N389">
        <v>10744.36</v>
      </c>
      <c r="O389" t="s">
        <v>26</v>
      </c>
      <c r="P389">
        <v>2</v>
      </c>
      <c r="Q389">
        <v>0</v>
      </c>
      <c r="R389" t="s">
        <v>27</v>
      </c>
      <c r="S389">
        <v>10</v>
      </c>
      <c r="T389" t="s">
        <v>28</v>
      </c>
      <c r="U389" t="s">
        <v>29</v>
      </c>
    </row>
    <row r="390" spans="1:21" x14ac:dyDescent="0.25">
      <c r="A390" t="s">
        <v>818</v>
      </c>
      <c r="B390">
        <v>57</v>
      </c>
      <c r="C390" t="s">
        <v>31</v>
      </c>
      <c r="D390" t="s">
        <v>58</v>
      </c>
      <c r="E390">
        <v>83008</v>
      </c>
      <c r="F390">
        <v>1</v>
      </c>
      <c r="G390" t="s">
        <v>819</v>
      </c>
      <c r="H390">
        <v>55039</v>
      </c>
      <c r="I390">
        <v>60</v>
      </c>
      <c r="J390">
        <v>17.53</v>
      </c>
      <c r="K390" t="s">
        <v>44</v>
      </c>
      <c r="L390">
        <v>0</v>
      </c>
      <c r="M390">
        <v>39600.812049800203</v>
      </c>
      <c r="N390">
        <v>660.01</v>
      </c>
      <c r="O390" t="s">
        <v>37</v>
      </c>
      <c r="P390">
        <v>0</v>
      </c>
      <c r="Q390">
        <v>0</v>
      </c>
      <c r="R390" t="s">
        <v>34</v>
      </c>
      <c r="S390">
        <v>0</v>
      </c>
      <c r="T390" t="s">
        <v>28</v>
      </c>
      <c r="U390" t="s">
        <v>29</v>
      </c>
    </row>
    <row r="391" spans="1:21" x14ac:dyDescent="0.25">
      <c r="A391" t="s">
        <v>820</v>
      </c>
      <c r="B391">
        <v>53</v>
      </c>
      <c r="C391" t="s">
        <v>22</v>
      </c>
      <c r="D391" t="s">
        <v>49</v>
      </c>
      <c r="E391">
        <v>140926</v>
      </c>
      <c r="F391">
        <v>0</v>
      </c>
      <c r="G391" t="s">
        <v>821</v>
      </c>
      <c r="H391">
        <v>202353</v>
      </c>
      <c r="I391">
        <v>24</v>
      </c>
      <c r="J391">
        <v>6.76</v>
      </c>
      <c r="K391" t="s">
        <v>44</v>
      </c>
      <c r="L391">
        <v>0</v>
      </c>
      <c r="M391">
        <v>156586.54488683899</v>
      </c>
      <c r="N391">
        <v>6524.44</v>
      </c>
      <c r="O391" t="s">
        <v>37</v>
      </c>
      <c r="P391">
        <v>2</v>
      </c>
      <c r="Q391">
        <v>104</v>
      </c>
      <c r="R391" t="s">
        <v>65</v>
      </c>
      <c r="S391">
        <v>6</v>
      </c>
      <c r="T391" t="s">
        <v>38</v>
      </c>
      <c r="U391" t="s">
        <v>29</v>
      </c>
    </row>
    <row r="392" spans="1:21" x14ac:dyDescent="0.25">
      <c r="A392" t="s">
        <v>822</v>
      </c>
      <c r="B392">
        <v>28</v>
      </c>
      <c r="C392" t="s">
        <v>22</v>
      </c>
      <c r="D392" t="s">
        <v>49</v>
      </c>
      <c r="E392">
        <v>130395</v>
      </c>
      <c r="F392">
        <v>3</v>
      </c>
      <c r="G392" t="s">
        <v>823</v>
      </c>
      <c r="H392">
        <v>162935</v>
      </c>
      <c r="I392">
        <v>12</v>
      </c>
      <c r="J392">
        <v>6.97</v>
      </c>
      <c r="K392" t="s">
        <v>25</v>
      </c>
      <c r="L392">
        <v>119203.087099906</v>
      </c>
      <c r="M392">
        <v>47548.980089374701</v>
      </c>
      <c r="N392">
        <v>3962.42</v>
      </c>
      <c r="O392" t="s">
        <v>68</v>
      </c>
      <c r="P392">
        <v>8</v>
      </c>
      <c r="Q392">
        <v>115</v>
      </c>
      <c r="R392" t="s">
        <v>34</v>
      </c>
      <c r="S392">
        <v>2</v>
      </c>
      <c r="T392" t="s">
        <v>45</v>
      </c>
      <c r="U392" t="s">
        <v>29</v>
      </c>
    </row>
    <row r="393" spans="1:21" x14ac:dyDescent="0.25">
      <c r="A393" t="s">
        <v>824</v>
      </c>
      <c r="B393">
        <v>64</v>
      </c>
      <c r="C393" t="s">
        <v>22</v>
      </c>
      <c r="D393" t="s">
        <v>49</v>
      </c>
      <c r="E393">
        <v>131492</v>
      </c>
      <c r="F393">
        <v>3</v>
      </c>
      <c r="G393" t="s">
        <v>825</v>
      </c>
      <c r="H393">
        <v>1633306</v>
      </c>
      <c r="I393">
        <v>24</v>
      </c>
      <c r="J393">
        <v>16.559999999999999</v>
      </c>
      <c r="K393" t="s">
        <v>44</v>
      </c>
      <c r="L393">
        <v>0</v>
      </c>
      <c r="M393">
        <v>1438059.97848057</v>
      </c>
      <c r="N393">
        <v>59919.17</v>
      </c>
      <c r="O393" t="s">
        <v>26</v>
      </c>
      <c r="P393">
        <v>2</v>
      </c>
      <c r="Q393">
        <v>176</v>
      </c>
      <c r="R393" t="s">
        <v>34</v>
      </c>
      <c r="S393">
        <v>3</v>
      </c>
      <c r="T393" t="s">
        <v>38</v>
      </c>
      <c r="U393" t="s">
        <v>29</v>
      </c>
    </row>
    <row r="394" spans="1:21" x14ac:dyDescent="0.25">
      <c r="A394" t="s">
        <v>826</v>
      </c>
      <c r="B394">
        <v>64</v>
      </c>
      <c r="C394" t="s">
        <v>22</v>
      </c>
      <c r="D394" t="s">
        <v>58</v>
      </c>
      <c r="E394">
        <v>87240</v>
      </c>
      <c r="F394">
        <v>2</v>
      </c>
      <c r="G394" t="s">
        <v>827</v>
      </c>
      <c r="H394">
        <v>1958796</v>
      </c>
      <c r="I394">
        <v>48</v>
      </c>
      <c r="J394">
        <v>17.27</v>
      </c>
      <c r="K394" t="s">
        <v>64</v>
      </c>
      <c r="L394">
        <v>2642266.6798342499</v>
      </c>
      <c r="M394">
        <v>1880951.1599827099</v>
      </c>
      <c r="N394">
        <v>39186.480000000003</v>
      </c>
      <c r="O394" t="s">
        <v>37</v>
      </c>
      <c r="P394">
        <v>3</v>
      </c>
      <c r="Q394">
        <v>152</v>
      </c>
      <c r="R394" t="s">
        <v>34</v>
      </c>
      <c r="S394">
        <v>0</v>
      </c>
      <c r="T394" t="s">
        <v>45</v>
      </c>
      <c r="U394" t="s">
        <v>29</v>
      </c>
    </row>
    <row r="395" spans="1:21" x14ac:dyDescent="0.25">
      <c r="A395" t="s">
        <v>828</v>
      </c>
      <c r="B395">
        <v>25</v>
      </c>
      <c r="C395" t="s">
        <v>31</v>
      </c>
      <c r="D395" t="s">
        <v>58</v>
      </c>
      <c r="E395">
        <v>79315</v>
      </c>
      <c r="F395">
        <v>1</v>
      </c>
      <c r="G395" t="s">
        <v>829</v>
      </c>
      <c r="H395">
        <v>1388306</v>
      </c>
      <c r="I395">
        <v>60</v>
      </c>
      <c r="J395">
        <v>14.96</v>
      </c>
      <c r="K395" t="s">
        <v>44</v>
      </c>
      <c r="L395">
        <v>0</v>
      </c>
      <c r="M395">
        <v>434600.551456641</v>
      </c>
      <c r="N395">
        <v>7243.34</v>
      </c>
      <c r="O395" t="s">
        <v>37</v>
      </c>
      <c r="P395">
        <v>2</v>
      </c>
      <c r="Q395">
        <v>120</v>
      </c>
      <c r="R395" t="s">
        <v>27</v>
      </c>
      <c r="S395">
        <v>4</v>
      </c>
      <c r="T395" t="s">
        <v>38</v>
      </c>
      <c r="U395" t="s">
        <v>29</v>
      </c>
    </row>
    <row r="396" spans="1:21" x14ac:dyDescent="0.25">
      <c r="A396" t="s">
        <v>830</v>
      </c>
      <c r="B396">
        <v>59</v>
      </c>
      <c r="C396" t="s">
        <v>22</v>
      </c>
      <c r="D396" t="s">
        <v>49</v>
      </c>
      <c r="E396">
        <v>215321</v>
      </c>
      <c r="F396">
        <v>2</v>
      </c>
      <c r="G396" t="s">
        <v>831</v>
      </c>
      <c r="H396">
        <v>103053</v>
      </c>
      <c r="I396">
        <v>72</v>
      </c>
      <c r="J396">
        <v>5.07</v>
      </c>
      <c r="K396" t="s">
        <v>25</v>
      </c>
      <c r="L396">
        <v>92466.517090627895</v>
      </c>
      <c r="M396">
        <v>92165.853669172298</v>
      </c>
      <c r="N396">
        <v>1280.08</v>
      </c>
      <c r="O396" t="s">
        <v>26</v>
      </c>
      <c r="P396">
        <v>3</v>
      </c>
      <c r="Q396">
        <v>74</v>
      </c>
      <c r="R396" t="s">
        <v>34</v>
      </c>
      <c r="S396">
        <v>2</v>
      </c>
      <c r="T396" t="s">
        <v>38</v>
      </c>
      <c r="U396" t="s">
        <v>29</v>
      </c>
    </row>
    <row r="397" spans="1:21" x14ac:dyDescent="0.25">
      <c r="A397" t="s">
        <v>832</v>
      </c>
      <c r="B397">
        <v>24</v>
      </c>
      <c r="C397" t="s">
        <v>22</v>
      </c>
      <c r="D397" t="s">
        <v>49</v>
      </c>
      <c r="E397">
        <v>216659</v>
      </c>
      <c r="F397">
        <v>2</v>
      </c>
      <c r="G397" t="s">
        <v>833</v>
      </c>
      <c r="H397">
        <v>1280137</v>
      </c>
      <c r="I397">
        <v>12</v>
      </c>
      <c r="J397">
        <v>5.0199999999999996</v>
      </c>
      <c r="K397" t="s">
        <v>25</v>
      </c>
      <c r="L397">
        <v>954406.94164470304</v>
      </c>
      <c r="M397">
        <v>239745.19189995999</v>
      </c>
      <c r="N397">
        <v>19978.77</v>
      </c>
      <c r="O397" t="s">
        <v>26</v>
      </c>
      <c r="P397">
        <v>2</v>
      </c>
      <c r="Q397">
        <v>8</v>
      </c>
      <c r="R397" t="s">
        <v>34</v>
      </c>
      <c r="S397">
        <v>2</v>
      </c>
      <c r="T397" t="s">
        <v>38</v>
      </c>
      <c r="U397" t="s">
        <v>29</v>
      </c>
    </row>
    <row r="398" spans="1:21" x14ac:dyDescent="0.25">
      <c r="A398" t="s">
        <v>834</v>
      </c>
      <c r="B398">
        <v>26</v>
      </c>
      <c r="C398" t="s">
        <v>22</v>
      </c>
      <c r="D398" t="s">
        <v>23</v>
      </c>
      <c r="E398">
        <v>25756</v>
      </c>
      <c r="F398">
        <v>0</v>
      </c>
      <c r="G398" t="s">
        <v>835</v>
      </c>
      <c r="H398">
        <v>1837040</v>
      </c>
      <c r="I398">
        <v>48</v>
      </c>
      <c r="J398">
        <v>9.92</v>
      </c>
      <c r="K398" t="s">
        <v>64</v>
      </c>
      <c r="L398">
        <v>2410795.6861610599</v>
      </c>
      <c r="M398">
        <v>275806.117595435</v>
      </c>
      <c r="N398">
        <v>5745.96</v>
      </c>
      <c r="O398" t="s">
        <v>37</v>
      </c>
      <c r="P398">
        <v>1</v>
      </c>
      <c r="Q398">
        <v>59</v>
      </c>
      <c r="R398" t="s">
        <v>65</v>
      </c>
      <c r="S398">
        <v>1</v>
      </c>
      <c r="T398" t="s">
        <v>41</v>
      </c>
      <c r="U398" t="s">
        <v>29</v>
      </c>
    </row>
    <row r="399" spans="1:21" x14ac:dyDescent="0.25">
      <c r="A399" t="s">
        <v>836</v>
      </c>
      <c r="B399">
        <v>52</v>
      </c>
      <c r="C399" t="s">
        <v>22</v>
      </c>
      <c r="D399" t="s">
        <v>23</v>
      </c>
      <c r="E399">
        <v>214083</v>
      </c>
      <c r="F399">
        <v>0</v>
      </c>
      <c r="G399" t="s">
        <v>837</v>
      </c>
      <c r="H399">
        <v>136346</v>
      </c>
      <c r="I399">
        <v>48</v>
      </c>
      <c r="J399">
        <v>6.86</v>
      </c>
      <c r="K399" t="s">
        <v>25</v>
      </c>
      <c r="L399">
        <v>114917.72149536401</v>
      </c>
      <c r="M399">
        <v>29491.8334239285</v>
      </c>
      <c r="N399">
        <v>614.41</v>
      </c>
      <c r="O399" t="s">
        <v>68</v>
      </c>
      <c r="P399">
        <v>3</v>
      </c>
      <c r="Q399">
        <v>73</v>
      </c>
      <c r="R399" t="s">
        <v>65</v>
      </c>
      <c r="S399">
        <v>9</v>
      </c>
      <c r="T399" t="s">
        <v>45</v>
      </c>
      <c r="U399" t="s">
        <v>29</v>
      </c>
    </row>
    <row r="400" spans="1:21" x14ac:dyDescent="0.25">
      <c r="A400" t="s">
        <v>838</v>
      </c>
      <c r="B400">
        <v>50</v>
      </c>
      <c r="C400" t="s">
        <v>31</v>
      </c>
      <c r="D400" t="s">
        <v>23</v>
      </c>
      <c r="E400">
        <v>51378</v>
      </c>
      <c r="F400">
        <v>0</v>
      </c>
      <c r="G400" t="s">
        <v>839</v>
      </c>
      <c r="H400">
        <v>379231</v>
      </c>
      <c r="I400">
        <v>60</v>
      </c>
      <c r="J400">
        <v>5.24</v>
      </c>
      <c r="K400" t="s">
        <v>33</v>
      </c>
      <c r="L400">
        <v>231895.08734678899</v>
      </c>
      <c r="M400">
        <v>57630.586576627204</v>
      </c>
      <c r="N400">
        <v>960.51</v>
      </c>
      <c r="O400" t="s">
        <v>37</v>
      </c>
      <c r="P400">
        <v>3</v>
      </c>
      <c r="Q400">
        <v>180</v>
      </c>
      <c r="R400" t="s">
        <v>34</v>
      </c>
      <c r="S400">
        <v>1</v>
      </c>
      <c r="T400" t="s">
        <v>41</v>
      </c>
      <c r="U400" t="s">
        <v>29</v>
      </c>
    </row>
    <row r="401" spans="1:21" x14ac:dyDescent="0.25">
      <c r="A401" t="s">
        <v>840</v>
      </c>
      <c r="B401">
        <v>55</v>
      </c>
      <c r="C401" t="s">
        <v>22</v>
      </c>
      <c r="D401" t="s">
        <v>23</v>
      </c>
      <c r="E401">
        <v>150327</v>
      </c>
      <c r="F401">
        <v>1</v>
      </c>
      <c r="G401" t="s">
        <v>841</v>
      </c>
      <c r="H401">
        <v>455841</v>
      </c>
      <c r="I401">
        <v>48</v>
      </c>
      <c r="J401">
        <v>11.03</v>
      </c>
      <c r="K401" t="s">
        <v>44</v>
      </c>
      <c r="L401">
        <v>0</v>
      </c>
      <c r="M401">
        <v>392256.20087759302</v>
      </c>
      <c r="N401">
        <v>8172</v>
      </c>
      <c r="O401" t="s">
        <v>26</v>
      </c>
      <c r="P401">
        <v>3</v>
      </c>
      <c r="Q401">
        <v>72</v>
      </c>
      <c r="R401" t="s">
        <v>34</v>
      </c>
      <c r="S401">
        <v>1</v>
      </c>
      <c r="T401" t="s">
        <v>38</v>
      </c>
      <c r="U401" t="s">
        <v>29</v>
      </c>
    </row>
    <row r="402" spans="1:21" x14ac:dyDescent="0.25">
      <c r="A402" t="s">
        <v>842</v>
      </c>
      <c r="B402">
        <v>60</v>
      </c>
      <c r="C402" t="s">
        <v>22</v>
      </c>
      <c r="D402" t="s">
        <v>23</v>
      </c>
      <c r="E402">
        <v>160556</v>
      </c>
      <c r="F402">
        <v>0</v>
      </c>
      <c r="G402" t="s">
        <v>843</v>
      </c>
      <c r="H402">
        <v>608685</v>
      </c>
      <c r="I402">
        <v>60</v>
      </c>
      <c r="J402">
        <v>17.260000000000002</v>
      </c>
      <c r="K402" t="s">
        <v>44</v>
      </c>
      <c r="L402">
        <v>0</v>
      </c>
      <c r="M402">
        <v>93217.143461624903</v>
      </c>
      <c r="N402">
        <v>1553.62</v>
      </c>
      <c r="O402" t="s">
        <v>26</v>
      </c>
      <c r="P402">
        <v>1</v>
      </c>
      <c r="Q402">
        <v>179</v>
      </c>
      <c r="R402" t="s">
        <v>27</v>
      </c>
      <c r="S402">
        <v>10</v>
      </c>
      <c r="T402" t="s">
        <v>28</v>
      </c>
      <c r="U402" t="s">
        <v>29</v>
      </c>
    </row>
    <row r="403" spans="1:21" x14ac:dyDescent="0.25">
      <c r="A403" t="s">
        <v>844</v>
      </c>
      <c r="B403">
        <v>36</v>
      </c>
      <c r="C403" t="s">
        <v>22</v>
      </c>
      <c r="D403" t="s">
        <v>23</v>
      </c>
      <c r="E403">
        <v>140703</v>
      </c>
      <c r="F403">
        <v>0</v>
      </c>
      <c r="G403" t="s">
        <v>845</v>
      </c>
      <c r="H403">
        <v>1419391</v>
      </c>
      <c r="I403">
        <v>60</v>
      </c>
      <c r="J403">
        <v>9.2100000000000009</v>
      </c>
      <c r="K403" t="s">
        <v>44</v>
      </c>
      <c r="L403">
        <v>0</v>
      </c>
      <c r="M403">
        <v>488977.03741946502</v>
      </c>
      <c r="N403">
        <v>8149.62</v>
      </c>
      <c r="O403" t="s">
        <v>26</v>
      </c>
      <c r="P403">
        <v>2</v>
      </c>
      <c r="Q403">
        <v>116</v>
      </c>
      <c r="R403" t="s">
        <v>65</v>
      </c>
      <c r="S403">
        <v>7</v>
      </c>
      <c r="T403" t="s">
        <v>41</v>
      </c>
      <c r="U403" t="s">
        <v>29</v>
      </c>
    </row>
    <row r="404" spans="1:21" x14ac:dyDescent="0.25">
      <c r="A404" t="s">
        <v>846</v>
      </c>
      <c r="B404">
        <v>33</v>
      </c>
      <c r="C404" t="s">
        <v>31</v>
      </c>
      <c r="D404" t="s">
        <v>23</v>
      </c>
      <c r="E404">
        <v>71549</v>
      </c>
      <c r="F404">
        <v>1</v>
      </c>
      <c r="G404" t="s">
        <v>847</v>
      </c>
      <c r="H404">
        <v>166214</v>
      </c>
      <c r="I404">
        <v>24</v>
      </c>
      <c r="J404">
        <v>13.59</v>
      </c>
      <c r="K404" t="s">
        <v>33</v>
      </c>
      <c r="L404">
        <v>177917.04320416501</v>
      </c>
      <c r="M404">
        <v>32142.5811960219</v>
      </c>
      <c r="N404">
        <v>1339.27</v>
      </c>
      <c r="O404" t="s">
        <v>37</v>
      </c>
      <c r="P404">
        <v>3</v>
      </c>
      <c r="Q404">
        <v>18</v>
      </c>
      <c r="R404" t="s">
        <v>34</v>
      </c>
      <c r="S404">
        <v>1</v>
      </c>
      <c r="T404" t="s">
        <v>45</v>
      </c>
      <c r="U404" t="s">
        <v>29</v>
      </c>
    </row>
    <row r="405" spans="1:21" x14ac:dyDescent="0.25">
      <c r="A405" t="s">
        <v>848</v>
      </c>
      <c r="B405">
        <v>62</v>
      </c>
      <c r="C405" t="s">
        <v>22</v>
      </c>
      <c r="D405" t="s">
        <v>49</v>
      </c>
      <c r="E405">
        <v>180575</v>
      </c>
      <c r="F405">
        <v>1</v>
      </c>
      <c r="G405" t="s">
        <v>849</v>
      </c>
      <c r="H405">
        <v>535001</v>
      </c>
      <c r="I405">
        <v>60</v>
      </c>
      <c r="J405">
        <v>13.48</v>
      </c>
      <c r="K405" t="s">
        <v>44</v>
      </c>
      <c r="L405">
        <v>0</v>
      </c>
      <c r="M405">
        <v>195746.07636491099</v>
      </c>
      <c r="N405">
        <v>3262.43</v>
      </c>
      <c r="O405" t="s">
        <v>37</v>
      </c>
      <c r="P405">
        <v>0</v>
      </c>
      <c r="Q405">
        <v>0</v>
      </c>
      <c r="R405" t="s">
        <v>27</v>
      </c>
      <c r="S405">
        <v>1</v>
      </c>
      <c r="T405" t="s">
        <v>38</v>
      </c>
      <c r="U405" t="s">
        <v>29</v>
      </c>
    </row>
    <row r="406" spans="1:21" x14ac:dyDescent="0.25">
      <c r="A406" t="s">
        <v>850</v>
      </c>
      <c r="B406">
        <v>50</v>
      </c>
      <c r="C406" t="s">
        <v>31</v>
      </c>
      <c r="D406" t="s">
        <v>58</v>
      </c>
      <c r="E406">
        <v>88794</v>
      </c>
      <c r="F406">
        <v>3</v>
      </c>
      <c r="G406" t="s">
        <v>851</v>
      </c>
      <c r="H406">
        <v>903329</v>
      </c>
      <c r="I406">
        <v>24</v>
      </c>
      <c r="J406">
        <v>8.26</v>
      </c>
      <c r="K406" t="s">
        <v>44</v>
      </c>
      <c r="L406">
        <v>0</v>
      </c>
      <c r="M406">
        <v>163957.393977625</v>
      </c>
      <c r="N406">
        <v>6831.56</v>
      </c>
      <c r="O406" t="s">
        <v>26</v>
      </c>
      <c r="P406">
        <v>2</v>
      </c>
      <c r="Q406">
        <v>175</v>
      </c>
      <c r="R406" t="s">
        <v>34</v>
      </c>
      <c r="S406">
        <v>2</v>
      </c>
      <c r="T406" t="s">
        <v>41</v>
      </c>
      <c r="U406" t="s">
        <v>29</v>
      </c>
    </row>
    <row r="407" spans="1:21" x14ac:dyDescent="0.25">
      <c r="A407" t="s">
        <v>852</v>
      </c>
      <c r="B407">
        <v>39</v>
      </c>
      <c r="C407" t="s">
        <v>31</v>
      </c>
      <c r="D407" t="s">
        <v>23</v>
      </c>
      <c r="E407">
        <v>246804</v>
      </c>
      <c r="F407">
        <v>0</v>
      </c>
      <c r="G407" t="s">
        <v>853</v>
      </c>
      <c r="H407">
        <v>1780085</v>
      </c>
      <c r="I407">
        <v>60</v>
      </c>
      <c r="J407">
        <v>13.46</v>
      </c>
      <c r="K407" t="s">
        <v>44</v>
      </c>
      <c r="L407">
        <v>0</v>
      </c>
      <c r="M407">
        <v>1248200.80993899</v>
      </c>
      <c r="N407">
        <v>20803.349999999999</v>
      </c>
      <c r="O407" t="s">
        <v>37</v>
      </c>
      <c r="P407">
        <v>2</v>
      </c>
      <c r="Q407">
        <v>59</v>
      </c>
      <c r="R407" t="s">
        <v>27</v>
      </c>
      <c r="S407">
        <v>8</v>
      </c>
      <c r="T407" t="s">
        <v>28</v>
      </c>
      <c r="U407" t="s">
        <v>29</v>
      </c>
    </row>
    <row r="408" spans="1:21" x14ac:dyDescent="0.25">
      <c r="A408" t="s">
        <v>854</v>
      </c>
      <c r="B408">
        <v>37</v>
      </c>
      <c r="C408" t="s">
        <v>22</v>
      </c>
      <c r="D408" t="s">
        <v>23</v>
      </c>
      <c r="E408">
        <v>60113</v>
      </c>
      <c r="F408">
        <v>0</v>
      </c>
      <c r="G408" t="s">
        <v>855</v>
      </c>
      <c r="H408">
        <v>1037410</v>
      </c>
      <c r="I408">
        <v>36</v>
      </c>
      <c r="J408">
        <v>7.76</v>
      </c>
      <c r="K408" t="s">
        <v>44</v>
      </c>
      <c r="L408">
        <v>0</v>
      </c>
      <c r="M408">
        <v>228224.11528775599</v>
      </c>
      <c r="N408">
        <v>6339.56</v>
      </c>
      <c r="O408" t="s">
        <v>26</v>
      </c>
      <c r="P408">
        <v>1</v>
      </c>
      <c r="Q408">
        <v>67</v>
      </c>
      <c r="R408" t="s">
        <v>27</v>
      </c>
      <c r="S408">
        <v>5</v>
      </c>
      <c r="T408" t="s">
        <v>41</v>
      </c>
      <c r="U408" t="s">
        <v>29</v>
      </c>
    </row>
    <row r="409" spans="1:21" x14ac:dyDescent="0.25">
      <c r="A409" t="s">
        <v>856</v>
      </c>
      <c r="B409">
        <v>39</v>
      </c>
      <c r="C409" t="s">
        <v>22</v>
      </c>
      <c r="D409" t="s">
        <v>49</v>
      </c>
      <c r="E409">
        <v>89069</v>
      </c>
      <c r="F409">
        <v>0</v>
      </c>
      <c r="G409" t="s">
        <v>857</v>
      </c>
      <c r="H409">
        <v>1497075</v>
      </c>
      <c r="I409">
        <v>48</v>
      </c>
      <c r="J409">
        <v>6.59</v>
      </c>
      <c r="K409" t="s">
        <v>44</v>
      </c>
      <c r="L409">
        <v>0</v>
      </c>
      <c r="M409">
        <v>1297457.01548273</v>
      </c>
      <c r="N409">
        <v>27030.35</v>
      </c>
      <c r="O409" t="s">
        <v>68</v>
      </c>
      <c r="P409">
        <v>6</v>
      </c>
      <c r="Q409">
        <v>160</v>
      </c>
      <c r="R409" t="s">
        <v>34</v>
      </c>
      <c r="S409">
        <v>0</v>
      </c>
      <c r="T409" t="s">
        <v>45</v>
      </c>
      <c r="U409" t="s">
        <v>29</v>
      </c>
    </row>
    <row r="410" spans="1:21" x14ac:dyDescent="0.25">
      <c r="A410" t="s">
        <v>858</v>
      </c>
      <c r="B410">
        <v>48</v>
      </c>
      <c r="C410" t="s">
        <v>22</v>
      </c>
      <c r="D410" t="s">
        <v>23</v>
      </c>
      <c r="E410">
        <v>244189</v>
      </c>
      <c r="F410">
        <v>3</v>
      </c>
      <c r="G410" t="s">
        <v>859</v>
      </c>
      <c r="H410">
        <v>450826</v>
      </c>
      <c r="I410">
        <v>72</v>
      </c>
      <c r="J410">
        <v>14.12</v>
      </c>
      <c r="K410" t="s">
        <v>64</v>
      </c>
      <c r="L410">
        <v>487597.26402996102</v>
      </c>
      <c r="M410">
        <v>376652.47537140001</v>
      </c>
      <c r="N410">
        <v>5231.28</v>
      </c>
      <c r="O410" t="s">
        <v>26</v>
      </c>
      <c r="P410">
        <v>2</v>
      </c>
      <c r="Q410">
        <v>150</v>
      </c>
      <c r="R410" t="s">
        <v>34</v>
      </c>
      <c r="S410">
        <v>2</v>
      </c>
      <c r="T410" t="s">
        <v>41</v>
      </c>
      <c r="U410" t="s">
        <v>29</v>
      </c>
    </row>
    <row r="411" spans="1:21" x14ac:dyDescent="0.25">
      <c r="A411" t="s">
        <v>860</v>
      </c>
      <c r="B411">
        <v>46</v>
      </c>
      <c r="C411" t="s">
        <v>22</v>
      </c>
      <c r="D411" t="s">
        <v>49</v>
      </c>
      <c r="E411">
        <v>151321</v>
      </c>
      <c r="F411">
        <v>0</v>
      </c>
      <c r="G411" t="s">
        <v>861</v>
      </c>
      <c r="H411">
        <v>486542</v>
      </c>
      <c r="I411">
        <v>72</v>
      </c>
      <c r="J411">
        <v>6.47</v>
      </c>
      <c r="K411" t="s">
        <v>25</v>
      </c>
      <c r="L411">
        <v>591000.46322054497</v>
      </c>
      <c r="M411">
        <v>54636.485395017102</v>
      </c>
      <c r="N411">
        <v>758.84</v>
      </c>
      <c r="O411" t="s">
        <v>26</v>
      </c>
      <c r="P411">
        <v>3</v>
      </c>
      <c r="Q411">
        <v>169</v>
      </c>
      <c r="R411" t="s">
        <v>65</v>
      </c>
      <c r="S411">
        <v>9</v>
      </c>
      <c r="T411" t="s">
        <v>28</v>
      </c>
      <c r="U411" t="s">
        <v>79</v>
      </c>
    </row>
    <row r="412" spans="1:21" x14ac:dyDescent="0.25">
      <c r="A412" t="s">
        <v>862</v>
      </c>
      <c r="B412">
        <v>57</v>
      </c>
      <c r="C412" t="s">
        <v>31</v>
      </c>
      <c r="D412" t="s">
        <v>23</v>
      </c>
      <c r="E412">
        <v>165273</v>
      </c>
      <c r="F412">
        <v>3</v>
      </c>
      <c r="G412" t="s">
        <v>863</v>
      </c>
      <c r="H412">
        <v>1375644</v>
      </c>
      <c r="I412">
        <v>60</v>
      </c>
      <c r="J412">
        <v>17.96</v>
      </c>
      <c r="K412" t="s">
        <v>25</v>
      </c>
      <c r="L412">
        <v>1018278.42197652</v>
      </c>
      <c r="M412">
        <v>1246544.9279456099</v>
      </c>
      <c r="N412">
        <v>20775.75</v>
      </c>
      <c r="O412" t="s">
        <v>26</v>
      </c>
      <c r="P412">
        <v>3</v>
      </c>
      <c r="Q412">
        <v>50</v>
      </c>
      <c r="R412" t="s">
        <v>27</v>
      </c>
      <c r="S412">
        <v>3</v>
      </c>
      <c r="T412" t="s">
        <v>28</v>
      </c>
      <c r="U412" t="s">
        <v>29</v>
      </c>
    </row>
    <row r="413" spans="1:21" x14ac:dyDescent="0.25">
      <c r="A413" t="s">
        <v>864</v>
      </c>
      <c r="B413">
        <v>46</v>
      </c>
      <c r="C413" t="s">
        <v>31</v>
      </c>
      <c r="D413" t="s">
        <v>23</v>
      </c>
      <c r="E413">
        <v>140541</v>
      </c>
      <c r="F413">
        <v>2</v>
      </c>
      <c r="G413" t="s">
        <v>865</v>
      </c>
      <c r="H413">
        <v>687431</v>
      </c>
      <c r="I413">
        <v>48</v>
      </c>
      <c r="J413">
        <v>7.38</v>
      </c>
      <c r="K413" t="s">
        <v>33</v>
      </c>
      <c r="L413">
        <v>648777.67540352105</v>
      </c>
      <c r="M413">
        <v>86650.598542888605</v>
      </c>
      <c r="N413">
        <v>1805.22</v>
      </c>
      <c r="O413" t="s">
        <v>26</v>
      </c>
      <c r="P413">
        <v>3</v>
      </c>
      <c r="Q413">
        <v>108</v>
      </c>
      <c r="R413" t="s">
        <v>34</v>
      </c>
      <c r="S413">
        <v>3</v>
      </c>
      <c r="T413" t="s">
        <v>45</v>
      </c>
      <c r="U413" t="s">
        <v>29</v>
      </c>
    </row>
    <row r="414" spans="1:21" x14ac:dyDescent="0.25">
      <c r="A414" t="s">
        <v>866</v>
      </c>
      <c r="B414">
        <v>43</v>
      </c>
      <c r="C414" t="s">
        <v>22</v>
      </c>
      <c r="D414" t="s">
        <v>58</v>
      </c>
      <c r="E414">
        <v>204648</v>
      </c>
      <c r="F414">
        <v>3</v>
      </c>
      <c r="G414" t="s">
        <v>867</v>
      </c>
      <c r="H414">
        <v>422397</v>
      </c>
      <c r="I414">
        <v>60</v>
      </c>
      <c r="J414">
        <v>12.72</v>
      </c>
      <c r="K414" t="s">
        <v>44</v>
      </c>
      <c r="L414">
        <v>0</v>
      </c>
      <c r="M414">
        <v>133342.79456584499</v>
      </c>
      <c r="N414">
        <v>2222.38</v>
      </c>
      <c r="O414" t="s">
        <v>26</v>
      </c>
      <c r="P414">
        <v>1</v>
      </c>
      <c r="Q414">
        <v>29</v>
      </c>
      <c r="R414" t="s">
        <v>27</v>
      </c>
      <c r="S414">
        <v>8</v>
      </c>
      <c r="T414" t="s">
        <v>28</v>
      </c>
      <c r="U414" t="s">
        <v>29</v>
      </c>
    </row>
    <row r="415" spans="1:21" x14ac:dyDescent="0.25">
      <c r="A415" t="s">
        <v>868</v>
      </c>
      <c r="B415">
        <v>29</v>
      </c>
      <c r="C415" t="s">
        <v>22</v>
      </c>
      <c r="D415" t="s">
        <v>23</v>
      </c>
      <c r="E415">
        <v>24686</v>
      </c>
      <c r="F415">
        <v>2</v>
      </c>
      <c r="G415" t="s">
        <v>869</v>
      </c>
      <c r="H415">
        <v>412441</v>
      </c>
      <c r="I415">
        <v>48</v>
      </c>
      <c r="J415">
        <v>10.35</v>
      </c>
      <c r="K415" t="s">
        <v>44</v>
      </c>
      <c r="L415">
        <v>0</v>
      </c>
      <c r="M415">
        <v>53266.847536122303</v>
      </c>
      <c r="N415">
        <v>1109.73</v>
      </c>
      <c r="O415" t="s">
        <v>26</v>
      </c>
      <c r="P415">
        <v>3</v>
      </c>
      <c r="Q415">
        <v>139</v>
      </c>
      <c r="R415" t="s">
        <v>27</v>
      </c>
      <c r="S415">
        <v>9</v>
      </c>
      <c r="T415" t="s">
        <v>38</v>
      </c>
      <c r="U415" t="s">
        <v>29</v>
      </c>
    </row>
    <row r="416" spans="1:21" x14ac:dyDescent="0.25">
      <c r="A416" t="s">
        <v>870</v>
      </c>
      <c r="B416">
        <v>32</v>
      </c>
      <c r="C416" t="s">
        <v>22</v>
      </c>
      <c r="D416" t="s">
        <v>49</v>
      </c>
      <c r="E416">
        <v>68363</v>
      </c>
      <c r="F416">
        <v>0</v>
      </c>
      <c r="G416" t="s">
        <v>871</v>
      </c>
      <c r="H416">
        <v>1885877</v>
      </c>
      <c r="I416">
        <v>72</v>
      </c>
      <c r="J416">
        <v>6.64</v>
      </c>
      <c r="K416" t="s">
        <v>44</v>
      </c>
      <c r="L416">
        <v>0</v>
      </c>
      <c r="M416">
        <v>758611.25702651998</v>
      </c>
      <c r="N416">
        <v>10536.27</v>
      </c>
      <c r="O416" t="s">
        <v>26</v>
      </c>
      <c r="P416">
        <v>1</v>
      </c>
      <c r="Q416">
        <v>57</v>
      </c>
      <c r="R416" t="s">
        <v>34</v>
      </c>
      <c r="S416">
        <v>0</v>
      </c>
      <c r="T416" t="s">
        <v>28</v>
      </c>
      <c r="U416" t="s">
        <v>29</v>
      </c>
    </row>
    <row r="417" spans="1:21" x14ac:dyDescent="0.25">
      <c r="A417" t="s">
        <v>872</v>
      </c>
      <c r="B417">
        <v>21</v>
      </c>
      <c r="C417" t="s">
        <v>31</v>
      </c>
      <c r="D417" t="s">
        <v>49</v>
      </c>
      <c r="E417">
        <v>112543</v>
      </c>
      <c r="F417">
        <v>2</v>
      </c>
      <c r="G417" t="s">
        <v>873</v>
      </c>
      <c r="H417">
        <v>933520</v>
      </c>
      <c r="I417">
        <v>36</v>
      </c>
      <c r="J417">
        <v>5.36</v>
      </c>
      <c r="K417" t="s">
        <v>44</v>
      </c>
      <c r="L417">
        <v>0</v>
      </c>
      <c r="M417">
        <v>525086.21117546805</v>
      </c>
      <c r="N417">
        <v>14585.73</v>
      </c>
      <c r="O417" t="s">
        <v>37</v>
      </c>
      <c r="P417">
        <v>0</v>
      </c>
      <c r="Q417">
        <v>0</v>
      </c>
      <c r="R417" t="s">
        <v>27</v>
      </c>
      <c r="S417">
        <v>9</v>
      </c>
      <c r="T417" t="s">
        <v>38</v>
      </c>
      <c r="U417" t="s">
        <v>29</v>
      </c>
    </row>
    <row r="418" spans="1:21" x14ac:dyDescent="0.25">
      <c r="A418" t="s">
        <v>874</v>
      </c>
      <c r="B418">
        <v>21</v>
      </c>
      <c r="C418" t="s">
        <v>22</v>
      </c>
      <c r="D418" t="s">
        <v>23</v>
      </c>
      <c r="E418">
        <v>146733</v>
      </c>
      <c r="F418">
        <v>3</v>
      </c>
      <c r="G418" t="s">
        <v>875</v>
      </c>
      <c r="H418">
        <v>1886022</v>
      </c>
      <c r="I418">
        <v>72</v>
      </c>
      <c r="J418">
        <v>13.1</v>
      </c>
      <c r="K418" t="s">
        <v>25</v>
      </c>
      <c r="L418">
        <v>1475563.10740867</v>
      </c>
      <c r="M418">
        <v>1540842.9742347</v>
      </c>
      <c r="N418">
        <v>21400.6</v>
      </c>
      <c r="O418" t="s">
        <v>26</v>
      </c>
      <c r="P418">
        <v>2</v>
      </c>
      <c r="Q418">
        <v>165</v>
      </c>
      <c r="R418" t="s">
        <v>34</v>
      </c>
      <c r="S418">
        <v>2</v>
      </c>
      <c r="T418" t="s">
        <v>41</v>
      </c>
      <c r="U418" t="s">
        <v>29</v>
      </c>
    </row>
    <row r="419" spans="1:21" x14ac:dyDescent="0.25">
      <c r="A419" t="s">
        <v>876</v>
      </c>
      <c r="B419">
        <v>54</v>
      </c>
      <c r="C419" t="s">
        <v>22</v>
      </c>
      <c r="D419" t="s">
        <v>49</v>
      </c>
      <c r="E419">
        <v>190915</v>
      </c>
      <c r="F419">
        <v>1</v>
      </c>
      <c r="G419" t="s">
        <v>877</v>
      </c>
      <c r="H419">
        <v>584391</v>
      </c>
      <c r="I419">
        <v>72</v>
      </c>
      <c r="J419">
        <v>15.49</v>
      </c>
      <c r="K419" t="s">
        <v>44</v>
      </c>
      <c r="L419">
        <v>0</v>
      </c>
      <c r="M419">
        <v>236201.138634556</v>
      </c>
      <c r="N419">
        <v>3280.57</v>
      </c>
      <c r="O419" t="s">
        <v>26</v>
      </c>
      <c r="P419">
        <v>2</v>
      </c>
      <c r="Q419">
        <v>38</v>
      </c>
      <c r="R419" t="s">
        <v>65</v>
      </c>
      <c r="S419">
        <v>0</v>
      </c>
      <c r="T419" t="s">
        <v>38</v>
      </c>
      <c r="U419" t="s">
        <v>29</v>
      </c>
    </row>
    <row r="420" spans="1:21" x14ac:dyDescent="0.25">
      <c r="A420" t="s">
        <v>878</v>
      </c>
      <c r="B420">
        <v>52</v>
      </c>
      <c r="C420" t="s">
        <v>31</v>
      </c>
      <c r="D420" t="s">
        <v>58</v>
      </c>
      <c r="E420">
        <v>110673</v>
      </c>
      <c r="F420">
        <v>2</v>
      </c>
      <c r="G420" t="s">
        <v>879</v>
      </c>
      <c r="H420">
        <v>1574314</v>
      </c>
      <c r="I420">
        <v>60</v>
      </c>
      <c r="J420">
        <v>15.95</v>
      </c>
      <c r="K420" t="s">
        <v>44</v>
      </c>
      <c r="L420">
        <v>0</v>
      </c>
      <c r="M420">
        <v>1157027.9404329101</v>
      </c>
      <c r="N420">
        <v>19283.8</v>
      </c>
      <c r="O420" t="s">
        <v>26</v>
      </c>
      <c r="P420">
        <v>0</v>
      </c>
      <c r="Q420">
        <v>0</v>
      </c>
      <c r="R420" t="s">
        <v>34</v>
      </c>
      <c r="S420">
        <v>1</v>
      </c>
      <c r="T420" t="s">
        <v>38</v>
      </c>
      <c r="U420" t="s">
        <v>29</v>
      </c>
    </row>
    <row r="421" spans="1:21" x14ac:dyDescent="0.25">
      <c r="A421" t="s">
        <v>880</v>
      </c>
      <c r="B421">
        <v>45</v>
      </c>
      <c r="C421" t="s">
        <v>31</v>
      </c>
      <c r="D421" t="s">
        <v>23</v>
      </c>
      <c r="E421">
        <v>207035</v>
      </c>
      <c r="F421">
        <v>2</v>
      </c>
      <c r="G421" t="s">
        <v>881</v>
      </c>
      <c r="H421">
        <v>1995325</v>
      </c>
      <c r="I421">
        <v>36</v>
      </c>
      <c r="J421">
        <v>11.28</v>
      </c>
      <c r="K421" t="s">
        <v>25</v>
      </c>
      <c r="L421">
        <v>1159191.51351504</v>
      </c>
      <c r="M421">
        <v>536251.59781083697</v>
      </c>
      <c r="N421">
        <v>14895.88</v>
      </c>
      <c r="O421" t="s">
        <v>37</v>
      </c>
      <c r="P421">
        <v>1</v>
      </c>
      <c r="Q421">
        <v>68</v>
      </c>
      <c r="R421" t="s">
        <v>34</v>
      </c>
      <c r="S421">
        <v>2</v>
      </c>
      <c r="T421" t="s">
        <v>41</v>
      </c>
      <c r="U421" t="s">
        <v>29</v>
      </c>
    </row>
    <row r="422" spans="1:21" x14ac:dyDescent="0.25">
      <c r="A422" t="s">
        <v>882</v>
      </c>
      <c r="B422">
        <v>60</v>
      </c>
      <c r="C422" t="s">
        <v>22</v>
      </c>
      <c r="D422" t="s">
        <v>49</v>
      </c>
      <c r="E422">
        <v>57828</v>
      </c>
      <c r="F422">
        <v>0</v>
      </c>
      <c r="G422" t="s">
        <v>883</v>
      </c>
      <c r="H422">
        <v>476674</v>
      </c>
      <c r="I422">
        <v>24</v>
      </c>
      <c r="J422">
        <v>15.11</v>
      </c>
      <c r="K422" t="s">
        <v>64</v>
      </c>
      <c r="L422">
        <v>656196.01937897305</v>
      </c>
      <c r="M422">
        <v>369679.091893045</v>
      </c>
      <c r="N422">
        <v>15403.3</v>
      </c>
      <c r="O422" t="s">
        <v>26</v>
      </c>
      <c r="P422">
        <v>2</v>
      </c>
      <c r="Q422">
        <v>36</v>
      </c>
      <c r="R422" t="s">
        <v>34</v>
      </c>
      <c r="S422">
        <v>2</v>
      </c>
      <c r="T422" t="s">
        <v>28</v>
      </c>
      <c r="U422" t="s">
        <v>29</v>
      </c>
    </row>
    <row r="423" spans="1:21" x14ac:dyDescent="0.25">
      <c r="A423" t="s">
        <v>884</v>
      </c>
      <c r="B423">
        <v>21</v>
      </c>
      <c r="C423" t="s">
        <v>31</v>
      </c>
      <c r="D423" t="s">
        <v>23</v>
      </c>
      <c r="E423">
        <v>63604</v>
      </c>
      <c r="F423">
        <v>3</v>
      </c>
      <c r="G423" t="s">
        <v>885</v>
      </c>
      <c r="H423">
        <v>1058109</v>
      </c>
      <c r="I423">
        <v>72</v>
      </c>
      <c r="J423">
        <v>13.75</v>
      </c>
      <c r="K423" t="s">
        <v>33</v>
      </c>
      <c r="L423">
        <v>1300278.19995735</v>
      </c>
      <c r="M423">
        <v>330550.01941381599</v>
      </c>
      <c r="N423">
        <v>4590.97</v>
      </c>
      <c r="O423" t="s">
        <v>68</v>
      </c>
      <c r="P423">
        <v>3</v>
      </c>
      <c r="Q423">
        <v>18</v>
      </c>
      <c r="R423" t="s">
        <v>27</v>
      </c>
      <c r="S423">
        <v>5</v>
      </c>
      <c r="T423" t="s">
        <v>38</v>
      </c>
      <c r="U423" t="s">
        <v>29</v>
      </c>
    </row>
    <row r="424" spans="1:21" x14ac:dyDescent="0.25">
      <c r="A424" t="s">
        <v>886</v>
      </c>
      <c r="B424">
        <v>36</v>
      </c>
      <c r="C424" t="s">
        <v>31</v>
      </c>
      <c r="D424" t="s">
        <v>49</v>
      </c>
      <c r="E424">
        <v>25526</v>
      </c>
      <c r="F424">
        <v>2</v>
      </c>
      <c r="G424" t="s">
        <v>887</v>
      </c>
      <c r="H424">
        <v>132409</v>
      </c>
      <c r="I424">
        <v>24</v>
      </c>
      <c r="J424">
        <v>14.42</v>
      </c>
      <c r="K424" t="s">
        <v>33</v>
      </c>
      <c r="L424">
        <v>106120.92223988</v>
      </c>
      <c r="M424">
        <v>30346.855830782501</v>
      </c>
      <c r="N424">
        <v>1264.45</v>
      </c>
      <c r="O424" t="s">
        <v>37</v>
      </c>
      <c r="P424">
        <v>1</v>
      </c>
      <c r="Q424">
        <v>15</v>
      </c>
      <c r="R424" t="s">
        <v>27</v>
      </c>
      <c r="S424">
        <v>5</v>
      </c>
      <c r="T424" t="s">
        <v>28</v>
      </c>
      <c r="U424" t="s">
        <v>29</v>
      </c>
    </row>
    <row r="425" spans="1:21" x14ac:dyDescent="0.25">
      <c r="A425" t="s">
        <v>888</v>
      </c>
      <c r="B425">
        <v>59</v>
      </c>
      <c r="C425" t="s">
        <v>22</v>
      </c>
      <c r="D425" t="s">
        <v>49</v>
      </c>
      <c r="E425">
        <v>83910</v>
      </c>
      <c r="F425">
        <v>2</v>
      </c>
      <c r="G425" t="s">
        <v>889</v>
      </c>
      <c r="H425">
        <v>1121824</v>
      </c>
      <c r="I425">
        <v>72</v>
      </c>
      <c r="J425">
        <v>11.4</v>
      </c>
      <c r="K425" t="s">
        <v>33</v>
      </c>
      <c r="L425">
        <v>1233303.0083556201</v>
      </c>
      <c r="M425">
        <v>299378.888345821</v>
      </c>
      <c r="N425">
        <v>4158.04</v>
      </c>
      <c r="O425" t="s">
        <v>26</v>
      </c>
      <c r="P425">
        <v>1</v>
      </c>
      <c r="Q425">
        <v>42</v>
      </c>
      <c r="R425" t="s">
        <v>27</v>
      </c>
      <c r="S425">
        <v>0</v>
      </c>
      <c r="T425" t="s">
        <v>41</v>
      </c>
      <c r="U425" t="s">
        <v>29</v>
      </c>
    </row>
    <row r="426" spans="1:21" x14ac:dyDescent="0.25">
      <c r="A426" t="s">
        <v>890</v>
      </c>
      <c r="B426">
        <v>25</v>
      </c>
      <c r="C426" t="s">
        <v>22</v>
      </c>
      <c r="D426" t="s">
        <v>23</v>
      </c>
      <c r="E426">
        <v>40592</v>
      </c>
      <c r="F426">
        <v>2</v>
      </c>
      <c r="G426" t="s">
        <v>891</v>
      </c>
      <c r="H426">
        <v>1580952</v>
      </c>
      <c r="I426">
        <v>48</v>
      </c>
      <c r="J426">
        <v>13.23</v>
      </c>
      <c r="K426" t="s">
        <v>44</v>
      </c>
      <c r="L426">
        <v>0</v>
      </c>
      <c r="M426">
        <v>417144.96095882403</v>
      </c>
      <c r="N426">
        <v>8690.52</v>
      </c>
      <c r="O426" t="s">
        <v>26</v>
      </c>
      <c r="P426">
        <v>0</v>
      </c>
      <c r="Q426">
        <v>0</v>
      </c>
      <c r="R426" t="s">
        <v>27</v>
      </c>
      <c r="S426">
        <v>2</v>
      </c>
      <c r="T426" t="s">
        <v>45</v>
      </c>
      <c r="U426" t="s">
        <v>29</v>
      </c>
    </row>
    <row r="427" spans="1:21" x14ac:dyDescent="0.25">
      <c r="A427" t="s">
        <v>892</v>
      </c>
      <c r="B427">
        <v>42</v>
      </c>
      <c r="C427" t="s">
        <v>22</v>
      </c>
      <c r="D427" t="s">
        <v>58</v>
      </c>
      <c r="E427">
        <v>43982</v>
      </c>
      <c r="F427">
        <v>2</v>
      </c>
      <c r="G427" t="s">
        <v>893</v>
      </c>
      <c r="H427">
        <v>748876</v>
      </c>
      <c r="I427">
        <v>36</v>
      </c>
      <c r="J427">
        <v>15.47</v>
      </c>
      <c r="K427" t="s">
        <v>33</v>
      </c>
      <c r="L427">
        <v>525159.62060299097</v>
      </c>
      <c r="M427">
        <v>420551.23149069102</v>
      </c>
      <c r="N427">
        <v>11681.98</v>
      </c>
      <c r="O427" t="s">
        <v>26</v>
      </c>
      <c r="P427">
        <v>0</v>
      </c>
      <c r="Q427">
        <v>0</v>
      </c>
      <c r="R427" t="s">
        <v>34</v>
      </c>
      <c r="S427">
        <v>1</v>
      </c>
      <c r="T427" t="s">
        <v>28</v>
      </c>
      <c r="U427" t="s">
        <v>29</v>
      </c>
    </row>
    <row r="428" spans="1:21" x14ac:dyDescent="0.25">
      <c r="A428" t="s">
        <v>894</v>
      </c>
      <c r="B428">
        <v>49</v>
      </c>
      <c r="C428" t="s">
        <v>22</v>
      </c>
      <c r="D428" t="s">
        <v>58</v>
      </c>
      <c r="E428">
        <v>15207</v>
      </c>
      <c r="F428">
        <v>1</v>
      </c>
      <c r="G428" t="s">
        <v>895</v>
      </c>
      <c r="H428">
        <v>1778106</v>
      </c>
      <c r="I428">
        <v>72</v>
      </c>
      <c r="J428">
        <v>10.17</v>
      </c>
      <c r="K428" t="s">
        <v>44</v>
      </c>
      <c r="L428">
        <v>0</v>
      </c>
      <c r="M428">
        <v>1529736.2831065201</v>
      </c>
      <c r="N428">
        <v>21246.34</v>
      </c>
      <c r="O428" t="s">
        <v>26</v>
      </c>
      <c r="P428">
        <v>1</v>
      </c>
      <c r="Q428">
        <v>78</v>
      </c>
      <c r="R428" t="s">
        <v>65</v>
      </c>
      <c r="S428">
        <v>9</v>
      </c>
      <c r="T428" t="s">
        <v>28</v>
      </c>
      <c r="U428" t="s">
        <v>79</v>
      </c>
    </row>
    <row r="429" spans="1:21" x14ac:dyDescent="0.25">
      <c r="A429" t="s">
        <v>896</v>
      </c>
      <c r="B429">
        <v>23</v>
      </c>
      <c r="C429" t="s">
        <v>31</v>
      </c>
      <c r="D429" t="s">
        <v>49</v>
      </c>
      <c r="E429">
        <v>247041</v>
      </c>
      <c r="F429">
        <v>3</v>
      </c>
      <c r="G429" t="s">
        <v>897</v>
      </c>
      <c r="H429">
        <v>1106600</v>
      </c>
      <c r="I429">
        <v>48</v>
      </c>
      <c r="J429">
        <v>15.48</v>
      </c>
      <c r="K429" t="s">
        <v>25</v>
      </c>
      <c r="L429">
        <v>1538435.8456792</v>
      </c>
      <c r="M429">
        <v>189941.88037991599</v>
      </c>
      <c r="N429">
        <v>3957.12</v>
      </c>
      <c r="O429" t="s">
        <v>37</v>
      </c>
      <c r="P429">
        <v>3</v>
      </c>
      <c r="Q429">
        <v>152</v>
      </c>
      <c r="R429" t="s">
        <v>34</v>
      </c>
      <c r="S429">
        <v>3</v>
      </c>
      <c r="T429" t="s">
        <v>45</v>
      </c>
      <c r="U429" t="s">
        <v>29</v>
      </c>
    </row>
    <row r="430" spans="1:21" x14ac:dyDescent="0.25">
      <c r="A430" t="s">
        <v>898</v>
      </c>
      <c r="B430">
        <v>32</v>
      </c>
      <c r="C430" t="s">
        <v>31</v>
      </c>
      <c r="D430" t="s">
        <v>49</v>
      </c>
      <c r="E430">
        <v>103733</v>
      </c>
      <c r="F430">
        <v>0</v>
      </c>
      <c r="G430" t="s">
        <v>899</v>
      </c>
      <c r="H430">
        <v>525430</v>
      </c>
      <c r="I430">
        <v>48</v>
      </c>
      <c r="J430">
        <v>12.7</v>
      </c>
      <c r="K430" t="s">
        <v>25</v>
      </c>
      <c r="L430">
        <v>323090.239992649</v>
      </c>
      <c r="M430">
        <v>386853.45258339902</v>
      </c>
      <c r="N430">
        <v>8059.45</v>
      </c>
      <c r="O430" t="s">
        <v>68</v>
      </c>
      <c r="P430">
        <v>9</v>
      </c>
      <c r="Q430">
        <v>145</v>
      </c>
      <c r="R430" t="s">
        <v>27</v>
      </c>
      <c r="S430">
        <v>1</v>
      </c>
      <c r="T430" t="s">
        <v>45</v>
      </c>
      <c r="U430" t="s">
        <v>29</v>
      </c>
    </row>
    <row r="431" spans="1:21" x14ac:dyDescent="0.25">
      <c r="A431" t="s">
        <v>900</v>
      </c>
      <c r="B431">
        <v>46</v>
      </c>
      <c r="C431" t="s">
        <v>22</v>
      </c>
      <c r="D431" t="s">
        <v>49</v>
      </c>
      <c r="E431">
        <v>245008</v>
      </c>
      <c r="F431">
        <v>0</v>
      </c>
      <c r="G431" t="s">
        <v>901</v>
      </c>
      <c r="H431">
        <v>1333440</v>
      </c>
      <c r="I431">
        <v>48</v>
      </c>
      <c r="J431">
        <v>7.16</v>
      </c>
      <c r="K431" t="s">
        <v>44</v>
      </c>
      <c r="L431">
        <v>0</v>
      </c>
      <c r="M431">
        <v>918622.56884355599</v>
      </c>
      <c r="N431">
        <v>19137.97</v>
      </c>
      <c r="O431" t="s">
        <v>26</v>
      </c>
      <c r="P431">
        <v>0</v>
      </c>
      <c r="Q431">
        <v>0</v>
      </c>
      <c r="R431" t="s">
        <v>34</v>
      </c>
      <c r="S431">
        <v>1</v>
      </c>
      <c r="T431" t="s">
        <v>41</v>
      </c>
      <c r="U431" t="s">
        <v>29</v>
      </c>
    </row>
    <row r="432" spans="1:21" x14ac:dyDescent="0.25">
      <c r="A432" t="s">
        <v>902</v>
      </c>
      <c r="B432">
        <v>36</v>
      </c>
      <c r="C432" t="s">
        <v>22</v>
      </c>
      <c r="D432" t="s">
        <v>23</v>
      </c>
      <c r="E432">
        <v>139982</v>
      </c>
      <c r="F432">
        <v>1</v>
      </c>
      <c r="G432" t="s">
        <v>903</v>
      </c>
      <c r="H432">
        <v>1970955</v>
      </c>
      <c r="I432">
        <v>36</v>
      </c>
      <c r="J432">
        <v>5.32</v>
      </c>
      <c r="K432" t="s">
        <v>33</v>
      </c>
      <c r="L432">
        <v>993040.34112432797</v>
      </c>
      <c r="M432">
        <v>1744823.30549206</v>
      </c>
      <c r="N432">
        <v>48467.31</v>
      </c>
      <c r="O432" t="s">
        <v>26</v>
      </c>
      <c r="P432">
        <v>3</v>
      </c>
      <c r="Q432">
        <v>73</v>
      </c>
      <c r="R432" t="s">
        <v>27</v>
      </c>
      <c r="S432">
        <v>10</v>
      </c>
      <c r="T432" t="s">
        <v>28</v>
      </c>
      <c r="U432" t="s">
        <v>29</v>
      </c>
    </row>
    <row r="433" spans="1:21" x14ac:dyDescent="0.25">
      <c r="A433" t="s">
        <v>904</v>
      </c>
      <c r="B433">
        <v>57</v>
      </c>
      <c r="C433" t="s">
        <v>22</v>
      </c>
      <c r="D433" t="s">
        <v>49</v>
      </c>
      <c r="E433">
        <v>83619</v>
      </c>
      <c r="F433">
        <v>3</v>
      </c>
      <c r="G433" t="s">
        <v>905</v>
      </c>
      <c r="H433">
        <v>1273451</v>
      </c>
      <c r="I433">
        <v>60</v>
      </c>
      <c r="J433">
        <v>9.7200000000000006</v>
      </c>
      <c r="K433" t="s">
        <v>64</v>
      </c>
      <c r="L433">
        <v>1276008.3414191599</v>
      </c>
      <c r="M433">
        <v>407164.05956757301</v>
      </c>
      <c r="N433">
        <v>6786.07</v>
      </c>
      <c r="O433" t="s">
        <v>37</v>
      </c>
      <c r="P433">
        <v>3</v>
      </c>
      <c r="Q433">
        <v>112</v>
      </c>
      <c r="R433" t="s">
        <v>27</v>
      </c>
      <c r="S433">
        <v>0</v>
      </c>
      <c r="T433" t="s">
        <v>28</v>
      </c>
      <c r="U433" t="s">
        <v>29</v>
      </c>
    </row>
    <row r="434" spans="1:21" x14ac:dyDescent="0.25">
      <c r="A434" t="s">
        <v>906</v>
      </c>
      <c r="B434">
        <v>42</v>
      </c>
      <c r="C434" t="s">
        <v>22</v>
      </c>
      <c r="D434" t="s">
        <v>23</v>
      </c>
      <c r="E434">
        <v>175400</v>
      </c>
      <c r="F434">
        <v>2</v>
      </c>
      <c r="G434" t="s">
        <v>907</v>
      </c>
      <c r="H434">
        <v>986800</v>
      </c>
      <c r="I434">
        <v>36</v>
      </c>
      <c r="J434">
        <v>12.11</v>
      </c>
      <c r="K434" t="s">
        <v>44</v>
      </c>
      <c r="L434">
        <v>0</v>
      </c>
      <c r="M434">
        <v>498431.56769534899</v>
      </c>
      <c r="N434">
        <v>13845.32</v>
      </c>
      <c r="O434" t="s">
        <v>37</v>
      </c>
      <c r="P434">
        <v>1</v>
      </c>
      <c r="Q434">
        <v>31</v>
      </c>
      <c r="R434" t="s">
        <v>27</v>
      </c>
      <c r="S434">
        <v>1</v>
      </c>
      <c r="T434" t="s">
        <v>41</v>
      </c>
      <c r="U434" t="s">
        <v>29</v>
      </c>
    </row>
    <row r="435" spans="1:21" x14ac:dyDescent="0.25">
      <c r="A435" t="s">
        <v>908</v>
      </c>
      <c r="B435">
        <v>49</v>
      </c>
      <c r="C435" t="s">
        <v>31</v>
      </c>
      <c r="D435" t="s">
        <v>23</v>
      </c>
      <c r="E435">
        <v>61479</v>
      </c>
      <c r="F435">
        <v>1</v>
      </c>
      <c r="G435" t="s">
        <v>909</v>
      </c>
      <c r="H435">
        <v>1452549</v>
      </c>
      <c r="I435">
        <v>72</v>
      </c>
      <c r="J435">
        <v>15.92</v>
      </c>
      <c r="K435" t="s">
        <v>33</v>
      </c>
      <c r="L435">
        <v>1573296.2368286401</v>
      </c>
      <c r="M435">
        <v>1355583.5642285</v>
      </c>
      <c r="N435">
        <v>18827.55</v>
      </c>
      <c r="O435" t="s">
        <v>26</v>
      </c>
      <c r="P435">
        <v>3</v>
      </c>
      <c r="Q435">
        <v>119</v>
      </c>
      <c r="R435" t="s">
        <v>34</v>
      </c>
      <c r="S435">
        <v>1</v>
      </c>
      <c r="T435" t="s">
        <v>28</v>
      </c>
      <c r="U435" t="s">
        <v>29</v>
      </c>
    </row>
    <row r="436" spans="1:21" x14ac:dyDescent="0.25">
      <c r="A436" t="s">
        <v>910</v>
      </c>
      <c r="B436">
        <v>34</v>
      </c>
      <c r="C436" t="s">
        <v>22</v>
      </c>
      <c r="D436" t="s">
        <v>49</v>
      </c>
      <c r="E436">
        <v>166175</v>
      </c>
      <c r="F436">
        <v>3</v>
      </c>
      <c r="G436" t="s">
        <v>911</v>
      </c>
      <c r="H436">
        <v>1977716</v>
      </c>
      <c r="I436">
        <v>72</v>
      </c>
      <c r="J436">
        <v>6.66</v>
      </c>
      <c r="K436" t="s">
        <v>44</v>
      </c>
      <c r="L436">
        <v>0</v>
      </c>
      <c r="M436">
        <v>1372523.2456050401</v>
      </c>
      <c r="N436">
        <v>19062.82</v>
      </c>
      <c r="O436" t="s">
        <v>26</v>
      </c>
      <c r="P436">
        <v>3</v>
      </c>
      <c r="Q436">
        <v>176</v>
      </c>
      <c r="R436" t="s">
        <v>34</v>
      </c>
      <c r="S436">
        <v>3</v>
      </c>
      <c r="T436" t="s">
        <v>38</v>
      </c>
      <c r="U436" t="s">
        <v>29</v>
      </c>
    </row>
    <row r="437" spans="1:21" x14ac:dyDescent="0.25">
      <c r="A437" t="s">
        <v>912</v>
      </c>
      <c r="B437">
        <v>48</v>
      </c>
      <c r="C437" t="s">
        <v>22</v>
      </c>
      <c r="D437" t="s">
        <v>23</v>
      </c>
      <c r="E437">
        <v>185963</v>
      </c>
      <c r="F437">
        <v>2</v>
      </c>
      <c r="G437" t="s">
        <v>913</v>
      </c>
      <c r="H437">
        <v>1971672</v>
      </c>
      <c r="I437">
        <v>36</v>
      </c>
      <c r="J437">
        <v>15.4</v>
      </c>
      <c r="K437" t="s">
        <v>25</v>
      </c>
      <c r="L437">
        <v>2127365.7109982702</v>
      </c>
      <c r="M437">
        <v>887038.61471128603</v>
      </c>
      <c r="N437">
        <v>24639.96</v>
      </c>
      <c r="O437" t="s">
        <v>26</v>
      </c>
      <c r="P437">
        <v>3</v>
      </c>
      <c r="Q437">
        <v>77</v>
      </c>
      <c r="R437" t="s">
        <v>34</v>
      </c>
      <c r="S437">
        <v>3</v>
      </c>
      <c r="T437" t="s">
        <v>38</v>
      </c>
      <c r="U437" t="s">
        <v>29</v>
      </c>
    </row>
    <row r="438" spans="1:21" x14ac:dyDescent="0.25">
      <c r="A438" t="s">
        <v>914</v>
      </c>
      <c r="B438">
        <v>25</v>
      </c>
      <c r="C438" t="s">
        <v>22</v>
      </c>
      <c r="D438" t="s">
        <v>23</v>
      </c>
      <c r="E438">
        <v>156826</v>
      </c>
      <c r="F438">
        <v>1</v>
      </c>
      <c r="G438" t="s">
        <v>915</v>
      </c>
      <c r="H438">
        <v>1510049</v>
      </c>
      <c r="I438">
        <v>60</v>
      </c>
      <c r="J438">
        <v>16.22</v>
      </c>
      <c r="K438" t="s">
        <v>25</v>
      </c>
      <c r="L438">
        <v>837340.181515562</v>
      </c>
      <c r="M438">
        <v>329600.12358639401</v>
      </c>
      <c r="N438">
        <v>5493.34</v>
      </c>
      <c r="O438" t="s">
        <v>37</v>
      </c>
      <c r="P438">
        <v>1</v>
      </c>
      <c r="Q438">
        <v>179</v>
      </c>
      <c r="R438" t="s">
        <v>27</v>
      </c>
      <c r="S438">
        <v>7</v>
      </c>
      <c r="T438" t="s">
        <v>38</v>
      </c>
      <c r="U438" t="s">
        <v>29</v>
      </c>
    </row>
    <row r="439" spans="1:21" x14ac:dyDescent="0.25">
      <c r="A439" t="s">
        <v>916</v>
      </c>
      <c r="B439">
        <v>50</v>
      </c>
      <c r="C439" t="s">
        <v>31</v>
      </c>
      <c r="D439" t="s">
        <v>23</v>
      </c>
      <c r="E439">
        <v>246055</v>
      </c>
      <c r="F439">
        <v>3</v>
      </c>
      <c r="G439" t="s">
        <v>917</v>
      </c>
      <c r="H439">
        <v>1242503</v>
      </c>
      <c r="I439">
        <v>48</v>
      </c>
      <c r="J439">
        <v>6.96</v>
      </c>
      <c r="K439" t="s">
        <v>25</v>
      </c>
      <c r="L439">
        <v>1011451.87222757</v>
      </c>
      <c r="M439">
        <v>417774.868794357</v>
      </c>
      <c r="N439">
        <v>8703.64</v>
      </c>
      <c r="O439" t="s">
        <v>26</v>
      </c>
      <c r="P439">
        <v>1</v>
      </c>
      <c r="Q439">
        <v>103</v>
      </c>
      <c r="R439" t="s">
        <v>34</v>
      </c>
      <c r="S439">
        <v>2</v>
      </c>
      <c r="T439" t="s">
        <v>28</v>
      </c>
      <c r="U439" t="s">
        <v>29</v>
      </c>
    </row>
    <row r="440" spans="1:21" x14ac:dyDescent="0.25">
      <c r="A440" t="s">
        <v>918</v>
      </c>
      <c r="B440">
        <v>25</v>
      </c>
      <c r="C440" t="s">
        <v>22</v>
      </c>
      <c r="D440" t="s">
        <v>23</v>
      </c>
      <c r="E440">
        <v>96437</v>
      </c>
      <c r="F440">
        <v>0</v>
      </c>
      <c r="G440" t="s">
        <v>919</v>
      </c>
      <c r="H440">
        <v>1183754</v>
      </c>
      <c r="I440">
        <v>36</v>
      </c>
      <c r="J440">
        <v>16.07</v>
      </c>
      <c r="K440" t="s">
        <v>64</v>
      </c>
      <c r="L440">
        <v>1182805.75011921</v>
      </c>
      <c r="M440">
        <v>737589.93170597102</v>
      </c>
      <c r="N440">
        <v>20488.61</v>
      </c>
      <c r="O440" t="s">
        <v>26</v>
      </c>
      <c r="P440">
        <v>0</v>
      </c>
      <c r="Q440">
        <v>0</v>
      </c>
      <c r="R440" t="s">
        <v>65</v>
      </c>
      <c r="S440">
        <v>2</v>
      </c>
      <c r="T440" t="s">
        <v>38</v>
      </c>
      <c r="U440" t="s">
        <v>29</v>
      </c>
    </row>
    <row r="441" spans="1:21" x14ac:dyDescent="0.25">
      <c r="A441" t="s">
        <v>920</v>
      </c>
      <c r="B441">
        <v>32</v>
      </c>
      <c r="C441" t="s">
        <v>31</v>
      </c>
      <c r="D441" t="s">
        <v>49</v>
      </c>
      <c r="E441">
        <v>113540</v>
      </c>
      <c r="F441">
        <v>0</v>
      </c>
      <c r="G441" t="s">
        <v>921</v>
      </c>
      <c r="H441">
        <v>1097380</v>
      </c>
      <c r="I441">
        <v>72</v>
      </c>
      <c r="J441">
        <v>17.89</v>
      </c>
      <c r="K441" t="s">
        <v>33</v>
      </c>
      <c r="L441">
        <v>786359.66672362201</v>
      </c>
      <c r="M441">
        <v>819030.82806456101</v>
      </c>
      <c r="N441">
        <v>11375.43</v>
      </c>
      <c r="O441" t="s">
        <v>68</v>
      </c>
      <c r="P441">
        <v>12</v>
      </c>
      <c r="Q441">
        <v>69</v>
      </c>
      <c r="R441" t="s">
        <v>34</v>
      </c>
      <c r="S441">
        <v>2</v>
      </c>
      <c r="T441" t="s">
        <v>38</v>
      </c>
      <c r="U441" t="s">
        <v>29</v>
      </c>
    </row>
    <row r="442" spans="1:21" x14ac:dyDescent="0.25">
      <c r="A442" t="s">
        <v>922</v>
      </c>
      <c r="B442">
        <v>36</v>
      </c>
      <c r="C442" t="s">
        <v>22</v>
      </c>
      <c r="D442" t="s">
        <v>23</v>
      </c>
      <c r="E442">
        <v>87982</v>
      </c>
      <c r="F442">
        <v>3</v>
      </c>
      <c r="G442" t="s">
        <v>923</v>
      </c>
      <c r="H442">
        <v>937553</v>
      </c>
      <c r="I442">
        <v>12</v>
      </c>
      <c r="J442">
        <v>14.45</v>
      </c>
      <c r="K442" t="s">
        <v>33</v>
      </c>
      <c r="L442">
        <v>1286909.5168149599</v>
      </c>
      <c r="M442">
        <v>198742.20195528801</v>
      </c>
      <c r="N442">
        <v>16561.849999999999</v>
      </c>
      <c r="O442" t="s">
        <v>37</v>
      </c>
      <c r="P442">
        <v>0</v>
      </c>
      <c r="Q442">
        <v>0</v>
      </c>
      <c r="R442" t="s">
        <v>34</v>
      </c>
      <c r="S442">
        <v>2</v>
      </c>
      <c r="T442" t="s">
        <v>41</v>
      </c>
      <c r="U442" t="s">
        <v>29</v>
      </c>
    </row>
    <row r="443" spans="1:21" x14ac:dyDescent="0.25">
      <c r="A443" t="s">
        <v>924</v>
      </c>
      <c r="B443">
        <v>46</v>
      </c>
      <c r="C443" t="s">
        <v>31</v>
      </c>
      <c r="D443" t="s">
        <v>49</v>
      </c>
      <c r="E443">
        <v>117747</v>
      </c>
      <c r="F443">
        <v>0</v>
      </c>
      <c r="G443" t="s">
        <v>925</v>
      </c>
      <c r="H443">
        <v>1615116</v>
      </c>
      <c r="I443">
        <v>36</v>
      </c>
      <c r="J443">
        <v>15.2</v>
      </c>
      <c r="K443" t="s">
        <v>44</v>
      </c>
      <c r="L443">
        <v>0</v>
      </c>
      <c r="M443">
        <v>1033088.81542798</v>
      </c>
      <c r="N443">
        <v>28696.91</v>
      </c>
      <c r="O443" t="s">
        <v>37</v>
      </c>
      <c r="P443">
        <v>3</v>
      </c>
      <c r="Q443">
        <v>128</v>
      </c>
      <c r="R443" t="s">
        <v>27</v>
      </c>
      <c r="S443">
        <v>5</v>
      </c>
      <c r="T443" t="s">
        <v>41</v>
      </c>
      <c r="U443" t="s">
        <v>29</v>
      </c>
    </row>
    <row r="444" spans="1:21" x14ac:dyDescent="0.25">
      <c r="A444" t="s">
        <v>926</v>
      </c>
      <c r="B444">
        <v>46</v>
      </c>
      <c r="C444" t="s">
        <v>31</v>
      </c>
      <c r="D444" t="s">
        <v>23</v>
      </c>
      <c r="E444">
        <v>201994</v>
      </c>
      <c r="F444">
        <v>3</v>
      </c>
      <c r="G444" t="s">
        <v>927</v>
      </c>
      <c r="H444">
        <v>856457</v>
      </c>
      <c r="I444">
        <v>48</v>
      </c>
      <c r="J444">
        <v>17.93</v>
      </c>
      <c r="K444" t="s">
        <v>64</v>
      </c>
      <c r="L444">
        <v>502833.86072427098</v>
      </c>
      <c r="M444">
        <v>509862.68469835998</v>
      </c>
      <c r="N444">
        <v>10622.14</v>
      </c>
      <c r="O444" t="s">
        <v>26</v>
      </c>
      <c r="P444">
        <v>1</v>
      </c>
      <c r="Q444">
        <v>138</v>
      </c>
      <c r="R444" t="s">
        <v>34</v>
      </c>
      <c r="S444">
        <v>0</v>
      </c>
      <c r="T444" t="s">
        <v>45</v>
      </c>
      <c r="U444" t="s">
        <v>29</v>
      </c>
    </row>
    <row r="445" spans="1:21" x14ac:dyDescent="0.25">
      <c r="A445" t="s">
        <v>928</v>
      </c>
      <c r="B445">
        <v>41</v>
      </c>
      <c r="C445" t="s">
        <v>22</v>
      </c>
      <c r="D445" t="s">
        <v>49</v>
      </c>
      <c r="E445">
        <v>63231</v>
      </c>
      <c r="F445">
        <v>2</v>
      </c>
      <c r="G445" t="s">
        <v>929</v>
      </c>
      <c r="H445">
        <v>1496250</v>
      </c>
      <c r="I445">
        <v>48</v>
      </c>
      <c r="J445">
        <v>12.87</v>
      </c>
      <c r="K445" t="s">
        <v>44</v>
      </c>
      <c r="L445">
        <v>0</v>
      </c>
      <c r="M445">
        <v>841730.25339987502</v>
      </c>
      <c r="N445">
        <v>17536.05</v>
      </c>
      <c r="O445" t="s">
        <v>26</v>
      </c>
      <c r="P445">
        <v>1</v>
      </c>
      <c r="Q445">
        <v>126</v>
      </c>
      <c r="R445" t="s">
        <v>65</v>
      </c>
      <c r="S445">
        <v>0</v>
      </c>
      <c r="T445" t="s">
        <v>45</v>
      </c>
      <c r="U445" t="s">
        <v>29</v>
      </c>
    </row>
    <row r="446" spans="1:21" x14ac:dyDescent="0.25">
      <c r="A446" t="s">
        <v>930</v>
      </c>
      <c r="B446">
        <v>59</v>
      </c>
      <c r="C446" t="s">
        <v>22</v>
      </c>
      <c r="D446" t="s">
        <v>23</v>
      </c>
      <c r="E446">
        <v>44301</v>
      </c>
      <c r="F446">
        <v>3</v>
      </c>
      <c r="G446" t="s">
        <v>931</v>
      </c>
      <c r="H446">
        <v>1162186</v>
      </c>
      <c r="I446">
        <v>48</v>
      </c>
      <c r="J446">
        <v>9</v>
      </c>
      <c r="K446" t="s">
        <v>33</v>
      </c>
      <c r="L446">
        <v>1147524.3747290601</v>
      </c>
      <c r="M446">
        <v>838064.88308174396</v>
      </c>
      <c r="N446">
        <v>17459.689999999999</v>
      </c>
      <c r="O446" t="s">
        <v>68</v>
      </c>
      <c r="P446">
        <v>12</v>
      </c>
      <c r="Q446">
        <v>112</v>
      </c>
      <c r="R446" t="s">
        <v>27</v>
      </c>
      <c r="S446">
        <v>2</v>
      </c>
      <c r="T446" t="s">
        <v>45</v>
      </c>
      <c r="U446" t="s">
        <v>29</v>
      </c>
    </row>
    <row r="447" spans="1:21" x14ac:dyDescent="0.25">
      <c r="A447" t="s">
        <v>932</v>
      </c>
      <c r="B447">
        <v>56</v>
      </c>
      <c r="C447" t="s">
        <v>31</v>
      </c>
      <c r="D447" t="s">
        <v>23</v>
      </c>
      <c r="E447">
        <v>237724</v>
      </c>
      <c r="F447">
        <v>2</v>
      </c>
      <c r="G447" t="s">
        <v>933</v>
      </c>
      <c r="H447">
        <v>1693707</v>
      </c>
      <c r="I447">
        <v>60</v>
      </c>
      <c r="J447">
        <v>15.89</v>
      </c>
      <c r="K447" t="s">
        <v>44</v>
      </c>
      <c r="L447">
        <v>0</v>
      </c>
      <c r="M447">
        <v>1445925.51720602</v>
      </c>
      <c r="N447">
        <v>24098.76</v>
      </c>
      <c r="O447" t="s">
        <v>26</v>
      </c>
      <c r="P447">
        <v>3</v>
      </c>
      <c r="Q447">
        <v>20</v>
      </c>
      <c r="R447" t="s">
        <v>34</v>
      </c>
      <c r="S447">
        <v>1</v>
      </c>
      <c r="T447" t="s">
        <v>45</v>
      </c>
      <c r="U447" t="s">
        <v>29</v>
      </c>
    </row>
    <row r="448" spans="1:21" x14ac:dyDescent="0.25">
      <c r="A448" t="s">
        <v>934</v>
      </c>
      <c r="B448">
        <v>53</v>
      </c>
      <c r="C448" t="s">
        <v>31</v>
      </c>
      <c r="D448" t="s">
        <v>49</v>
      </c>
      <c r="E448">
        <v>208783</v>
      </c>
      <c r="F448">
        <v>1</v>
      </c>
      <c r="G448" t="s">
        <v>935</v>
      </c>
      <c r="H448">
        <v>681525</v>
      </c>
      <c r="I448">
        <v>48</v>
      </c>
      <c r="J448">
        <v>12.99</v>
      </c>
      <c r="K448" t="s">
        <v>44</v>
      </c>
      <c r="L448">
        <v>0</v>
      </c>
      <c r="M448">
        <v>266265.48944440403</v>
      </c>
      <c r="N448">
        <v>5547.2</v>
      </c>
      <c r="O448" t="s">
        <v>26</v>
      </c>
      <c r="P448">
        <v>0</v>
      </c>
      <c r="Q448">
        <v>0</v>
      </c>
      <c r="R448" t="s">
        <v>34</v>
      </c>
      <c r="S448">
        <v>0</v>
      </c>
      <c r="T448" t="s">
        <v>41</v>
      </c>
      <c r="U448" t="s">
        <v>29</v>
      </c>
    </row>
    <row r="449" spans="1:21" x14ac:dyDescent="0.25">
      <c r="A449" t="s">
        <v>936</v>
      </c>
      <c r="B449">
        <v>50</v>
      </c>
      <c r="C449" t="s">
        <v>22</v>
      </c>
      <c r="D449" t="s">
        <v>49</v>
      </c>
      <c r="E449">
        <v>187395</v>
      </c>
      <c r="F449">
        <v>3</v>
      </c>
      <c r="G449" t="s">
        <v>937</v>
      </c>
      <c r="H449">
        <v>1575753</v>
      </c>
      <c r="I449">
        <v>48</v>
      </c>
      <c r="J449">
        <v>12.56</v>
      </c>
      <c r="K449" t="s">
        <v>25</v>
      </c>
      <c r="L449">
        <v>1877377.42687452</v>
      </c>
      <c r="M449">
        <v>1418352.5630435201</v>
      </c>
      <c r="N449">
        <v>29549.01</v>
      </c>
      <c r="O449" t="s">
        <v>26</v>
      </c>
      <c r="P449">
        <v>1</v>
      </c>
      <c r="Q449">
        <v>153</v>
      </c>
      <c r="R449" t="s">
        <v>34</v>
      </c>
      <c r="S449">
        <v>0</v>
      </c>
      <c r="T449" t="s">
        <v>41</v>
      </c>
      <c r="U449" t="s">
        <v>29</v>
      </c>
    </row>
    <row r="450" spans="1:21" x14ac:dyDescent="0.25">
      <c r="A450" t="s">
        <v>938</v>
      </c>
      <c r="B450">
        <v>57</v>
      </c>
      <c r="C450" t="s">
        <v>22</v>
      </c>
      <c r="D450" t="s">
        <v>23</v>
      </c>
      <c r="E450">
        <v>33752</v>
      </c>
      <c r="F450">
        <v>1</v>
      </c>
      <c r="G450" t="s">
        <v>939</v>
      </c>
      <c r="H450">
        <v>1803767</v>
      </c>
      <c r="I450">
        <v>12</v>
      </c>
      <c r="J450">
        <v>8.3000000000000007</v>
      </c>
      <c r="K450" t="s">
        <v>44</v>
      </c>
      <c r="L450">
        <v>0</v>
      </c>
      <c r="M450">
        <v>441147.74857891299</v>
      </c>
      <c r="N450">
        <v>36762.31</v>
      </c>
      <c r="O450" t="s">
        <v>26</v>
      </c>
      <c r="P450">
        <v>0</v>
      </c>
      <c r="Q450">
        <v>0</v>
      </c>
      <c r="R450" t="s">
        <v>34</v>
      </c>
      <c r="S450">
        <v>2</v>
      </c>
      <c r="T450" t="s">
        <v>41</v>
      </c>
      <c r="U450" t="s">
        <v>29</v>
      </c>
    </row>
    <row r="451" spans="1:21" x14ac:dyDescent="0.25">
      <c r="A451" t="s">
        <v>940</v>
      </c>
      <c r="B451">
        <v>43</v>
      </c>
      <c r="C451" t="s">
        <v>31</v>
      </c>
      <c r="D451" t="s">
        <v>23</v>
      </c>
      <c r="E451">
        <v>243984</v>
      </c>
      <c r="F451">
        <v>0</v>
      </c>
      <c r="G451" t="s">
        <v>941</v>
      </c>
      <c r="H451">
        <v>748787</v>
      </c>
      <c r="I451">
        <v>36</v>
      </c>
      <c r="J451">
        <v>14.83</v>
      </c>
      <c r="K451" t="s">
        <v>44</v>
      </c>
      <c r="L451">
        <v>0</v>
      </c>
      <c r="M451">
        <v>191480.92192342901</v>
      </c>
      <c r="N451">
        <v>5318.91</v>
      </c>
      <c r="O451" t="s">
        <v>26</v>
      </c>
      <c r="P451">
        <v>3</v>
      </c>
      <c r="Q451">
        <v>10</v>
      </c>
      <c r="R451" t="s">
        <v>27</v>
      </c>
      <c r="S451">
        <v>7</v>
      </c>
      <c r="T451" t="s">
        <v>38</v>
      </c>
      <c r="U451" t="s">
        <v>29</v>
      </c>
    </row>
    <row r="452" spans="1:21" x14ac:dyDescent="0.25">
      <c r="A452" t="s">
        <v>942</v>
      </c>
      <c r="B452">
        <v>30</v>
      </c>
      <c r="C452" t="s">
        <v>22</v>
      </c>
      <c r="D452" t="s">
        <v>23</v>
      </c>
      <c r="E452">
        <v>228277</v>
      </c>
      <c r="F452">
        <v>2</v>
      </c>
      <c r="G452" t="s">
        <v>943</v>
      </c>
      <c r="H452">
        <v>1585601</v>
      </c>
      <c r="I452">
        <v>24</v>
      </c>
      <c r="J452">
        <v>6.06</v>
      </c>
      <c r="K452" t="s">
        <v>44</v>
      </c>
      <c r="L452">
        <v>0</v>
      </c>
      <c r="M452">
        <v>539254.74576874205</v>
      </c>
      <c r="N452">
        <v>22468.95</v>
      </c>
      <c r="O452" t="s">
        <v>37</v>
      </c>
      <c r="P452">
        <v>1</v>
      </c>
      <c r="Q452">
        <v>110</v>
      </c>
      <c r="R452" t="s">
        <v>34</v>
      </c>
      <c r="S452">
        <v>3</v>
      </c>
      <c r="T452" t="s">
        <v>38</v>
      </c>
      <c r="U452" t="s">
        <v>29</v>
      </c>
    </row>
    <row r="453" spans="1:21" x14ac:dyDescent="0.25">
      <c r="A453" t="s">
        <v>944</v>
      </c>
      <c r="B453">
        <v>25</v>
      </c>
      <c r="C453" t="s">
        <v>22</v>
      </c>
      <c r="D453" t="s">
        <v>23</v>
      </c>
      <c r="E453">
        <v>113452</v>
      </c>
      <c r="F453">
        <v>3</v>
      </c>
      <c r="G453" t="s">
        <v>945</v>
      </c>
      <c r="H453">
        <v>1753163</v>
      </c>
      <c r="I453">
        <v>36</v>
      </c>
      <c r="J453">
        <v>17.02</v>
      </c>
      <c r="K453" t="s">
        <v>44</v>
      </c>
      <c r="L453">
        <v>0</v>
      </c>
      <c r="M453">
        <v>363917.688062987</v>
      </c>
      <c r="N453">
        <v>10108.82</v>
      </c>
      <c r="O453" t="s">
        <v>68</v>
      </c>
      <c r="P453">
        <v>12</v>
      </c>
      <c r="Q453">
        <v>82</v>
      </c>
      <c r="R453" t="s">
        <v>34</v>
      </c>
      <c r="S453">
        <v>3</v>
      </c>
      <c r="T453" t="s">
        <v>45</v>
      </c>
      <c r="U453" t="s">
        <v>29</v>
      </c>
    </row>
    <row r="454" spans="1:21" x14ac:dyDescent="0.25">
      <c r="A454" t="s">
        <v>946</v>
      </c>
      <c r="B454">
        <v>56</v>
      </c>
      <c r="C454" t="s">
        <v>31</v>
      </c>
      <c r="D454" t="s">
        <v>49</v>
      </c>
      <c r="E454">
        <v>159467</v>
      </c>
      <c r="F454">
        <v>1</v>
      </c>
      <c r="G454" t="s">
        <v>947</v>
      </c>
      <c r="H454">
        <v>1530298</v>
      </c>
      <c r="I454">
        <v>48</v>
      </c>
      <c r="J454">
        <v>9.24</v>
      </c>
      <c r="K454" t="s">
        <v>44</v>
      </c>
      <c r="L454">
        <v>0</v>
      </c>
      <c r="M454">
        <v>470241.14400438202</v>
      </c>
      <c r="N454">
        <v>9796.69</v>
      </c>
      <c r="O454" t="s">
        <v>68</v>
      </c>
      <c r="P454">
        <v>7</v>
      </c>
      <c r="Q454">
        <v>154</v>
      </c>
      <c r="R454" t="s">
        <v>34</v>
      </c>
      <c r="S454">
        <v>3</v>
      </c>
      <c r="T454" t="s">
        <v>38</v>
      </c>
      <c r="U454" t="s">
        <v>29</v>
      </c>
    </row>
    <row r="455" spans="1:21" x14ac:dyDescent="0.25">
      <c r="A455" t="s">
        <v>948</v>
      </c>
      <c r="B455">
        <v>54</v>
      </c>
      <c r="C455" t="s">
        <v>22</v>
      </c>
      <c r="D455" t="s">
        <v>23</v>
      </c>
      <c r="E455">
        <v>232029</v>
      </c>
      <c r="F455">
        <v>2</v>
      </c>
      <c r="G455" t="s">
        <v>949</v>
      </c>
      <c r="H455">
        <v>1104244</v>
      </c>
      <c r="I455">
        <v>24</v>
      </c>
      <c r="J455">
        <v>6.66</v>
      </c>
      <c r="K455" t="s">
        <v>44</v>
      </c>
      <c r="L455">
        <v>0</v>
      </c>
      <c r="M455">
        <v>216178.49564340001</v>
      </c>
      <c r="N455">
        <v>9007.44</v>
      </c>
      <c r="O455" t="s">
        <v>26</v>
      </c>
      <c r="P455">
        <v>2</v>
      </c>
      <c r="Q455">
        <v>64</v>
      </c>
      <c r="R455" t="s">
        <v>34</v>
      </c>
      <c r="S455">
        <v>3</v>
      </c>
      <c r="T455" t="s">
        <v>28</v>
      </c>
      <c r="U455" t="s">
        <v>29</v>
      </c>
    </row>
    <row r="456" spans="1:21" x14ac:dyDescent="0.25">
      <c r="A456" t="s">
        <v>950</v>
      </c>
      <c r="B456">
        <v>51</v>
      </c>
      <c r="C456" t="s">
        <v>22</v>
      </c>
      <c r="D456" t="s">
        <v>23</v>
      </c>
      <c r="E456">
        <v>136237</v>
      </c>
      <c r="F456">
        <v>2</v>
      </c>
      <c r="G456" t="s">
        <v>951</v>
      </c>
      <c r="H456">
        <v>1321118</v>
      </c>
      <c r="I456">
        <v>36</v>
      </c>
      <c r="J456">
        <v>10.75</v>
      </c>
      <c r="K456" t="s">
        <v>25</v>
      </c>
      <c r="L456">
        <v>1006363.08990747</v>
      </c>
      <c r="M456">
        <v>1109180.5186606101</v>
      </c>
      <c r="N456">
        <v>30810.57</v>
      </c>
      <c r="O456" t="s">
        <v>26</v>
      </c>
      <c r="P456">
        <v>3</v>
      </c>
      <c r="Q456">
        <v>6</v>
      </c>
      <c r="R456" t="s">
        <v>34</v>
      </c>
      <c r="S456">
        <v>2</v>
      </c>
      <c r="T456" t="s">
        <v>41</v>
      </c>
      <c r="U456" t="s">
        <v>29</v>
      </c>
    </row>
    <row r="457" spans="1:21" x14ac:dyDescent="0.25">
      <c r="A457" t="s">
        <v>952</v>
      </c>
      <c r="B457">
        <v>30</v>
      </c>
      <c r="C457" t="s">
        <v>22</v>
      </c>
      <c r="D457" t="s">
        <v>23</v>
      </c>
      <c r="E457">
        <v>71273</v>
      </c>
      <c r="F457">
        <v>0</v>
      </c>
      <c r="G457" t="s">
        <v>953</v>
      </c>
      <c r="H457">
        <v>228267</v>
      </c>
      <c r="I457">
        <v>24</v>
      </c>
      <c r="J457">
        <v>5.55</v>
      </c>
      <c r="K457" t="s">
        <v>44</v>
      </c>
      <c r="L457">
        <v>0</v>
      </c>
      <c r="M457">
        <v>51376.531383885696</v>
      </c>
      <c r="N457">
        <v>2140.69</v>
      </c>
      <c r="O457" t="s">
        <v>26</v>
      </c>
      <c r="P457">
        <v>3</v>
      </c>
      <c r="Q457">
        <v>23</v>
      </c>
      <c r="R457" t="s">
        <v>27</v>
      </c>
      <c r="S457">
        <v>3</v>
      </c>
      <c r="T457" t="s">
        <v>45</v>
      </c>
      <c r="U457" t="s">
        <v>29</v>
      </c>
    </row>
    <row r="458" spans="1:21" x14ac:dyDescent="0.25">
      <c r="A458" t="s">
        <v>954</v>
      </c>
      <c r="B458">
        <v>39</v>
      </c>
      <c r="C458" t="s">
        <v>22</v>
      </c>
      <c r="D458" t="s">
        <v>23</v>
      </c>
      <c r="E458">
        <v>106878</v>
      </c>
      <c r="F458">
        <v>0</v>
      </c>
      <c r="G458" t="s">
        <v>955</v>
      </c>
      <c r="H458">
        <v>1958241</v>
      </c>
      <c r="I458">
        <v>72</v>
      </c>
      <c r="J458">
        <v>13.9</v>
      </c>
      <c r="K458" t="s">
        <v>25</v>
      </c>
      <c r="L458">
        <v>2201534.3050587601</v>
      </c>
      <c r="M458">
        <v>1512873.94477221</v>
      </c>
      <c r="N458">
        <v>21012.14</v>
      </c>
      <c r="O458" t="s">
        <v>37</v>
      </c>
      <c r="P458">
        <v>3</v>
      </c>
      <c r="Q458">
        <v>58</v>
      </c>
      <c r="R458" t="s">
        <v>27</v>
      </c>
      <c r="S458">
        <v>8</v>
      </c>
      <c r="T458" t="s">
        <v>45</v>
      </c>
      <c r="U458" t="s">
        <v>29</v>
      </c>
    </row>
    <row r="459" spans="1:21" x14ac:dyDescent="0.25">
      <c r="A459" t="s">
        <v>956</v>
      </c>
      <c r="B459">
        <v>52</v>
      </c>
      <c r="C459" t="s">
        <v>22</v>
      </c>
      <c r="D459" t="s">
        <v>23</v>
      </c>
      <c r="E459">
        <v>19895</v>
      </c>
      <c r="F459">
        <v>2</v>
      </c>
      <c r="G459" t="s">
        <v>957</v>
      </c>
      <c r="H459">
        <v>205489</v>
      </c>
      <c r="I459">
        <v>72</v>
      </c>
      <c r="J459">
        <v>16.739999999999998</v>
      </c>
      <c r="K459" t="s">
        <v>44</v>
      </c>
      <c r="L459">
        <v>0</v>
      </c>
      <c r="M459">
        <v>29410.095523278698</v>
      </c>
      <c r="N459">
        <v>408.47</v>
      </c>
      <c r="O459" t="s">
        <v>26</v>
      </c>
      <c r="P459">
        <v>1</v>
      </c>
      <c r="Q459">
        <v>172</v>
      </c>
      <c r="R459" t="s">
        <v>27</v>
      </c>
      <c r="S459">
        <v>1</v>
      </c>
      <c r="T459" t="s">
        <v>28</v>
      </c>
      <c r="U459" t="s">
        <v>29</v>
      </c>
    </row>
    <row r="460" spans="1:21" x14ac:dyDescent="0.25">
      <c r="A460" t="s">
        <v>958</v>
      </c>
      <c r="B460">
        <v>21</v>
      </c>
      <c r="C460" t="s">
        <v>31</v>
      </c>
      <c r="D460" t="s">
        <v>23</v>
      </c>
      <c r="E460">
        <v>134968</v>
      </c>
      <c r="F460">
        <v>2</v>
      </c>
      <c r="G460" t="s">
        <v>959</v>
      </c>
      <c r="H460">
        <v>394126</v>
      </c>
      <c r="I460">
        <v>48</v>
      </c>
      <c r="J460">
        <v>15.88</v>
      </c>
      <c r="K460" t="s">
        <v>64</v>
      </c>
      <c r="L460">
        <v>523945.25168501399</v>
      </c>
      <c r="M460">
        <v>375865.47034157399</v>
      </c>
      <c r="N460">
        <v>7830.53</v>
      </c>
      <c r="O460" t="s">
        <v>37</v>
      </c>
      <c r="P460">
        <v>3</v>
      </c>
      <c r="Q460">
        <v>147</v>
      </c>
      <c r="R460" t="s">
        <v>27</v>
      </c>
      <c r="S460">
        <v>5</v>
      </c>
      <c r="T460" t="s">
        <v>38</v>
      </c>
      <c r="U460" t="s">
        <v>29</v>
      </c>
    </row>
    <row r="461" spans="1:21" x14ac:dyDescent="0.25">
      <c r="A461" t="s">
        <v>960</v>
      </c>
      <c r="B461">
        <v>25</v>
      </c>
      <c r="C461" t="s">
        <v>22</v>
      </c>
      <c r="D461" t="s">
        <v>23</v>
      </c>
      <c r="E461">
        <v>130700</v>
      </c>
      <c r="F461">
        <v>3</v>
      </c>
      <c r="G461" t="s">
        <v>961</v>
      </c>
      <c r="H461">
        <v>1728997</v>
      </c>
      <c r="I461">
        <v>72</v>
      </c>
      <c r="J461">
        <v>6.66</v>
      </c>
      <c r="K461" t="s">
        <v>33</v>
      </c>
      <c r="L461">
        <v>1193590.5589284101</v>
      </c>
      <c r="M461">
        <v>1279533.9920697201</v>
      </c>
      <c r="N461">
        <v>17771.310000000001</v>
      </c>
      <c r="O461" t="s">
        <v>37</v>
      </c>
      <c r="P461">
        <v>3</v>
      </c>
      <c r="Q461">
        <v>150</v>
      </c>
      <c r="R461" t="s">
        <v>34</v>
      </c>
      <c r="S461">
        <v>3</v>
      </c>
      <c r="T461" t="s">
        <v>45</v>
      </c>
      <c r="U461" t="s">
        <v>29</v>
      </c>
    </row>
    <row r="462" spans="1:21" x14ac:dyDescent="0.25">
      <c r="A462" t="s">
        <v>962</v>
      </c>
      <c r="B462">
        <v>24</v>
      </c>
      <c r="C462" t="s">
        <v>22</v>
      </c>
      <c r="D462" t="s">
        <v>23</v>
      </c>
      <c r="E462">
        <v>91559</v>
      </c>
      <c r="F462">
        <v>2</v>
      </c>
      <c r="G462" t="s">
        <v>963</v>
      </c>
      <c r="H462">
        <v>1895759</v>
      </c>
      <c r="I462">
        <v>60</v>
      </c>
      <c r="J462">
        <v>6.64</v>
      </c>
      <c r="K462" t="s">
        <v>44</v>
      </c>
      <c r="L462">
        <v>0</v>
      </c>
      <c r="M462">
        <v>201172.05633595301</v>
      </c>
      <c r="N462">
        <v>3352.87</v>
      </c>
      <c r="O462" t="s">
        <v>26</v>
      </c>
      <c r="P462">
        <v>2</v>
      </c>
      <c r="Q462">
        <v>5</v>
      </c>
      <c r="R462" t="s">
        <v>27</v>
      </c>
      <c r="S462">
        <v>1</v>
      </c>
      <c r="T462" t="s">
        <v>38</v>
      </c>
      <c r="U462" t="s">
        <v>29</v>
      </c>
    </row>
    <row r="463" spans="1:21" x14ac:dyDescent="0.25">
      <c r="A463" t="s">
        <v>964</v>
      </c>
      <c r="B463">
        <v>36</v>
      </c>
      <c r="C463" t="s">
        <v>22</v>
      </c>
      <c r="D463" t="s">
        <v>49</v>
      </c>
      <c r="E463">
        <v>25699</v>
      </c>
      <c r="F463">
        <v>3</v>
      </c>
      <c r="G463" t="s">
        <v>965</v>
      </c>
      <c r="H463">
        <v>358362</v>
      </c>
      <c r="I463">
        <v>48</v>
      </c>
      <c r="J463">
        <v>15.57</v>
      </c>
      <c r="K463" t="s">
        <v>33</v>
      </c>
      <c r="L463">
        <v>507878.00572754198</v>
      </c>
      <c r="M463">
        <v>282199.62881227402</v>
      </c>
      <c r="N463">
        <v>5879.16</v>
      </c>
      <c r="O463" t="s">
        <v>26</v>
      </c>
      <c r="P463">
        <v>1</v>
      </c>
      <c r="Q463">
        <v>172</v>
      </c>
      <c r="R463" t="s">
        <v>34</v>
      </c>
      <c r="S463">
        <v>2</v>
      </c>
      <c r="T463" t="s">
        <v>38</v>
      </c>
      <c r="U463" t="s">
        <v>29</v>
      </c>
    </row>
    <row r="464" spans="1:21" x14ac:dyDescent="0.25">
      <c r="A464" t="s">
        <v>966</v>
      </c>
      <c r="B464">
        <v>44</v>
      </c>
      <c r="C464" t="s">
        <v>22</v>
      </c>
      <c r="D464" t="s">
        <v>23</v>
      </c>
      <c r="E464">
        <v>211133</v>
      </c>
      <c r="F464">
        <v>2</v>
      </c>
      <c r="G464" t="s">
        <v>967</v>
      </c>
      <c r="H464">
        <v>963081</v>
      </c>
      <c r="I464">
        <v>12</v>
      </c>
      <c r="J464">
        <v>17.02</v>
      </c>
      <c r="K464" t="s">
        <v>33</v>
      </c>
      <c r="L464">
        <v>1014662.205195</v>
      </c>
      <c r="M464">
        <v>541900.377300077</v>
      </c>
      <c r="N464">
        <v>45158.36</v>
      </c>
      <c r="O464" t="s">
        <v>68</v>
      </c>
      <c r="P464">
        <v>10</v>
      </c>
      <c r="Q464">
        <v>68</v>
      </c>
      <c r="R464" t="s">
        <v>34</v>
      </c>
      <c r="S464">
        <v>3</v>
      </c>
      <c r="T464" t="s">
        <v>28</v>
      </c>
      <c r="U464" t="s">
        <v>29</v>
      </c>
    </row>
    <row r="465" spans="1:21" x14ac:dyDescent="0.25">
      <c r="A465" t="s">
        <v>968</v>
      </c>
      <c r="B465">
        <v>36</v>
      </c>
      <c r="C465" t="s">
        <v>31</v>
      </c>
      <c r="D465" t="s">
        <v>58</v>
      </c>
      <c r="E465">
        <v>24715</v>
      </c>
      <c r="F465">
        <v>0</v>
      </c>
      <c r="G465" t="s">
        <v>969</v>
      </c>
      <c r="H465">
        <v>1892360</v>
      </c>
      <c r="I465">
        <v>60</v>
      </c>
      <c r="J465">
        <v>10.99</v>
      </c>
      <c r="K465" t="s">
        <v>64</v>
      </c>
      <c r="L465">
        <v>1512434.6756591599</v>
      </c>
      <c r="M465">
        <v>1516591.5263618301</v>
      </c>
      <c r="N465">
        <v>25276.53</v>
      </c>
      <c r="O465" t="s">
        <v>68</v>
      </c>
      <c r="P465">
        <v>4</v>
      </c>
      <c r="Q465">
        <v>147</v>
      </c>
      <c r="R465" t="s">
        <v>34</v>
      </c>
      <c r="S465">
        <v>2</v>
      </c>
      <c r="T465" t="s">
        <v>45</v>
      </c>
      <c r="U465" t="s">
        <v>29</v>
      </c>
    </row>
    <row r="466" spans="1:21" x14ac:dyDescent="0.25">
      <c r="A466" t="s">
        <v>970</v>
      </c>
      <c r="B466">
        <v>22</v>
      </c>
      <c r="C466" t="s">
        <v>22</v>
      </c>
      <c r="D466" t="s">
        <v>23</v>
      </c>
      <c r="E466">
        <v>34169</v>
      </c>
      <c r="F466">
        <v>3</v>
      </c>
      <c r="G466" t="s">
        <v>971</v>
      </c>
      <c r="H466">
        <v>1832988</v>
      </c>
      <c r="I466">
        <v>60</v>
      </c>
      <c r="J466">
        <v>11.49</v>
      </c>
      <c r="K466" t="s">
        <v>25</v>
      </c>
      <c r="L466">
        <v>1706252.0484764001</v>
      </c>
      <c r="M466">
        <v>1045256.14266127</v>
      </c>
      <c r="N466">
        <v>17420.939999999999</v>
      </c>
      <c r="O466" t="s">
        <v>26</v>
      </c>
      <c r="P466">
        <v>3</v>
      </c>
      <c r="Q466">
        <v>10</v>
      </c>
      <c r="R466" t="s">
        <v>34</v>
      </c>
      <c r="S466">
        <v>0</v>
      </c>
      <c r="T466" t="s">
        <v>38</v>
      </c>
      <c r="U466" t="s">
        <v>29</v>
      </c>
    </row>
    <row r="467" spans="1:21" x14ac:dyDescent="0.25">
      <c r="A467" t="s">
        <v>972</v>
      </c>
      <c r="B467">
        <v>48</v>
      </c>
      <c r="C467" t="s">
        <v>22</v>
      </c>
      <c r="D467" t="s">
        <v>49</v>
      </c>
      <c r="E467">
        <v>133413</v>
      </c>
      <c r="F467">
        <v>1</v>
      </c>
      <c r="G467" t="s">
        <v>973</v>
      </c>
      <c r="H467">
        <v>1187411</v>
      </c>
      <c r="I467">
        <v>48</v>
      </c>
      <c r="J467">
        <v>9.14</v>
      </c>
      <c r="K467" t="s">
        <v>44</v>
      </c>
      <c r="L467">
        <v>0</v>
      </c>
      <c r="M467">
        <v>803785.07050668902</v>
      </c>
      <c r="N467">
        <v>16745.52</v>
      </c>
      <c r="O467" t="s">
        <v>26</v>
      </c>
      <c r="P467">
        <v>1</v>
      </c>
      <c r="Q467">
        <v>44</v>
      </c>
      <c r="R467" t="s">
        <v>27</v>
      </c>
      <c r="S467">
        <v>3</v>
      </c>
      <c r="T467" t="s">
        <v>38</v>
      </c>
      <c r="U467" t="s">
        <v>29</v>
      </c>
    </row>
    <row r="468" spans="1:21" x14ac:dyDescent="0.25">
      <c r="A468" t="s">
        <v>974</v>
      </c>
      <c r="B468">
        <v>52</v>
      </c>
      <c r="C468" t="s">
        <v>31</v>
      </c>
      <c r="D468" t="s">
        <v>49</v>
      </c>
      <c r="E468">
        <v>162235</v>
      </c>
      <c r="F468">
        <v>0</v>
      </c>
      <c r="G468" t="s">
        <v>975</v>
      </c>
      <c r="H468">
        <v>1720357</v>
      </c>
      <c r="I468">
        <v>60</v>
      </c>
      <c r="J468">
        <v>16.63</v>
      </c>
      <c r="K468" t="s">
        <v>25</v>
      </c>
      <c r="L468">
        <v>1397259.9926151</v>
      </c>
      <c r="M468">
        <v>1389529.7509124</v>
      </c>
      <c r="N468">
        <v>23158.83</v>
      </c>
      <c r="O468" t="s">
        <v>68</v>
      </c>
      <c r="P468">
        <v>4</v>
      </c>
      <c r="Q468">
        <v>120</v>
      </c>
      <c r="R468" t="s">
        <v>34</v>
      </c>
      <c r="S468">
        <v>3</v>
      </c>
      <c r="T468" t="s">
        <v>28</v>
      </c>
      <c r="U468" t="s">
        <v>29</v>
      </c>
    </row>
    <row r="469" spans="1:21" x14ac:dyDescent="0.25">
      <c r="A469" t="s">
        <v>976</v>
      </c>
      <c r="B469">
        <v>47</v>
      </c>
      <c r="C469" t="s">
        <v>22</v>
      </c>
      <c r="D469" t="s">
        <v>49</v>
      </c>
      <c r="E469">
        <v>134264</v>
      </c>
      <c r="F469">
        <v>3</v>
      </c>
      <c r="G469" t="s">
        <v>977</v>
      </c>
      <c r="H469">
        <v>865359</v>
      </c>
      <c r="I469">
        <v>48</v>
      </c>
      <c r="J469">
        <v>13.38</v>
      </c>
      <c r="K469" t="s">
        <v>25</v>
      </c>
      <c r="L469">
        <v>1060160.9682487301</v>
      </c>
      <c r="M469">
        <v>402043.41090908402</v>
      </c>
      <c r="N469">
        <v>8375.9</v>
      </c>
      <c r="O469" t="s">
        <v>26</v>
      </c>
      <c r="P469">
        <v>3</v>
      </c>
      <c r="Q469">
        <v>132</v>
      </c>
      <c r="R469" t="s">
        <v>27</v>
      </c>
      <c r="S469">
        <v>9</v>
      </c>
      <c r="T469" t="s">
        <v>28</v>
      </c>
      <c r="U469" t="s">
        <v>29</v>
      </c>
    </row>
    <row r="470" spans="1:21" x14ac:dyDescent="0.25">
      <c r="A470" t="s">
        <v>978</v>
      </c>
      <c r="B470">
        <v>40</v>
      </c>
      <c r="C470" t="s">
        <v>22</v>
      </c>
      <c r="D470" t="s">
        <v>49</v>
      </c>
      <c r="E470">
        <v>20782</v>
      </c>
      <c r="F470">
        <v>3</v>
      </c>
      <c r="G470" t="s">
        <v>979</v>
      </c>
      <c r="H470">
        <v>1795030</v>
      </c>
      <c r="I470">
        <v>60</v>
      </c>
      <c r="J470">
        <v>8.75</v>
      </c>
      <c r="K470" t="s">
        <v>25</v>
      </c>
      <c r="L470">
        <v>2326898.5798500599</v>
      </c>
      <c r="M470">
        <v>183878.089154986</v>
      </c>
      <c r="N470">
        <v>3064.63</v>
      </c>
      <c r="O470" t="s">
        <v>26</v>
      </c>
      <c r="P470">
        <v>0</v>
      </c>
      <c r="Q470">
        <v>0</v>
      </c>
      <c r="R470" t="s">
        <v>34</v>
      </c>
      <c r="S470">
        <v>0</v>
      </c>
      <c r="T470" t="s">
        <v>38</v>
      </c>
      <c r="U470" t="s">
        <v>29</v>
      </c>
    </row>
    <row r="471" spans="1:21" x14ac:dyDescent="0.25">
      <c r="A471" t="s">
        <v>980</v>
      </c>
      <c r="B471">
        <v>44</v>
      </c>
      <c r="C471" t="s">
        <v>22</v>
      </c>
      <c r="D471" t="s">
        <v>23</v>
      </c>
      <c r="E471">
        <v>234249</v>
      </c>
      <c r="F471">
        <v>1</v>
      </c>
      <c r="G471" t="s">
        <v>981</v>
      </c>
      <c r="H471">
        <v>151948</v>
      </c>
      <c r="I471">
        <v>72</v>
      </c>
      <c r="J471">
        <v>8.8800000000000008</v>
      </c>
      <c r="K471" t="s">
        <v>44</v>
      </c>
      <c r="L471">
        <v>0</v>
      </c>
      <c r="M471">
        <v>131427.70314929201</v>
      </c>
      <c r="N471">
        <v>1825.38</v>
      </c>
      <c r="O471" t="s">
        <v>26</v>
      </c>
      <c r="P471">
        <v>2</v>
      </c>
      <c r="Q471">
        <v>166</v>
      </c>
      <c r="R471" t="s">
        <v>34</v>
      </c>
      <c r="S471">
        <v>0</v>
      </c>
      <c r="T471" t="s">
        <v>28</v>
      </c>
      <c r="U471" t="s">
        <v>29</v>
      </c>
    </row>
    <row r="472" spans="1:21" x14ac:dyDescent="0.25">
      <c r="A472" t="s">
        <v>982</v>
      </c>
      <c r="B472">
        <v>32</v>
      </c>
      <c r="C472" t="s">
        <v>22</v>
      </c>
      <c r="D472" t="s">
        <v>23</v>
      </c>
      <c r="E472">
        <v>139481</v>
      </c>
      <c r="F472">
        <v>3</v>
      </c>
      <c r="G472" t="s">
        <v>983</v>
      </c>
      <c r="H472">
        <v>1283770</v>
      </c>
      <c r="I472">
        <v>36</v>
      </c>
      <c r="J472">
        <v>16.59</v>
      </c>
      <c r="K472" t="s">
        <v>33</v>
      </c>
      <c r="L472">
        <v>1711185.0361369301</v>
      </c>
      <c r="M472">
        <v>568455.05874399701</v>
      </c>
      <c r="N472">
        <v>15790.42</v>
      </c>
      <c r="O472" t="s">
        <v>26</v>
      </c>
      <c r="P472">
        <v>1</v>
      </c>
      <c r="Q472">
        <v>113</v>
      </c>
      <c r="R472" t="s">
        <v>27</v>
      </c>
      <c r="S472">
        <v>3</v>
      </c>
      <c r="T472" t="s">
        <v>38</v>
      </c>
      <c r="U472" t="s">
        <v>29</v>
      </c>
    </row>
    <row r="473" spans="1:21" x14ac:dyDescent="0.25">
      <c r="A473" t="s">
        <v>984</v>
      </c>
      <c r="B473">
        <v>55</v>
      </c>
      <c r="C473" t="s">
        <v>22</v>
      </c>
      <c r="D473" t="s">
        <v>23</v>
      </c>
      <c r="E473">
        <v>230400</v>
      </c>
      <c r="F473">
        <v>2</v>
      </c>
      <c r="G473" t="s">
        <v>985</v>
      </c>
      <c r="H473">
        <v>1652357</v>
      </c>
      <c r="I473">
        <v>60</v>
      </c>
      <c r="J473">
        <v>5.18</v>
      </c>
      <c r="K473" t="s">
        <v>64</v>
      </c>
      <c r="L473">
        <v>2455019.5675807502</v>
      </c>
      <c r="M473">
        <v>902911.40356932499</v>
      </c>
      <c r="N473">
        <v>15048.52</v>
      </c>
      <c r="O473" t="s">
        <v>26</v>
      </c>
      <c r="P473">
        <v>2</v>
      </c>
      <c r="Q473">
        <v>71</v>
      </c>
      <c r="R473" t="s">
        <v>34</v>
      </c>
      <c r="S473">
        <v>2</v>
      </c>
      <c r="T473" t="s">
        <v>45</v>
      </c>
      <c r="U473" t="s">
        <v>29</v>
      </c>
    </row>
    <row r="474" spans="1:21" x14ac:dyDescent="0.25">
      <c r="A474" t="s">
        <v>986</v>
      </c>
      <c r="B474">
        <v>53</v>
      </c>
      <c r="C474" t="s">
        <v>22</v>
      </c>
      <c r="D474" t="s">
        <v>23</v>
      </c>
      <c r="E474">
        <v>50585</v>
      </c>
      <c r="F474">
        <v>1</v>
      </c>
      <c r="G474" t="s">
        <v>987</v>
      </c>
      <c r="H474">
        <v>1565331</v>
      </c>
      <c r="I474">
        <v>48</v>
      </c>
      <c r="J474">
        <v>9.1999999999999993</v>
      </c>
      <c r="K474" t="s">
        <v>44</v>
      </c>
      <c r="L474">
        <v>0</v>
      </c>
      <c r="M474">
        <v>167474.729156563</v>
      </c>
      <c r="N474">
        <v>3489.06</v>
      </c>
      <c r="O474" t="s">
        <v>26</v>
      </c>
      <c r="P474">
        <v>2</v>
      </c>
      <c r="Q474">
        <v>46</v>
      </c>
      <c r="R474" t="s">
        <v>34</v>
      </c>
      <c r="S474">
        <v>1</v>
      </c>
      <c r="T474" t="s">
        <v>41</v>
      </c>
      <c r="U474" t="s">
        <v>29</v>
      </c>
    </row>
    <row r="475" spans="1:21" x14ac:dyDescent="0.25">
      <c r="A475" t="s">
        <v>988</v>
      </c>
      <c r="B475">
        <v>53</v>
      </c>
      <c r="C475" t="s">
        <v>31</v>
      </c>
      <c r="D475" t="s">
        <v>23</v>
      </c>
      <c r="E475">
        <v>45682</v>
      </c>
      <c r="F475">
        <v>0</v>
      </c>
      <c r="G475" t="s">
        <v>989</v>
      </c>
      <c r="H475">
        <v>343851</v>
      </c>
      <c r="I475">
        <v>60</v>
      </c>
      <c r="J475">
        <v>12.21</v>
      </c>
      <c r="K475" t="s">
        <v>44</v>
      </c>
      <c r="L475">
        <v>0</v>
      </c>
      <c r="M475">
        <v>186670.796865802</v>
      </c>
      <c r="N475">
        <v>3111.18</v>
      </c>
      <c r="O475" t="s">
        <v>26</v>
      </c>
      <c r="P475">
        <v>2</v>
      </c>
      <c r="Q475">
        <v>149</v>
      </c>
      <c r="R475" t="s">
        <v>34</v>
      </c>
      <c r="S475">
        <v>1</v>
      </c>
      <c r="T475" t="s">
        <v>28</v>
      </c>
      <c r="U475" t="s">
        <v>29</v>
      </c>
    </row>
    <row r="476" spans="1:21" x14ac:dyDescent="0.25">
      <c r="A476" t="s">
        <v>990</v>
      </c>
      <c r="B476">
        <v>63</v>
      </c>
      <c r="C476" t="s">
        <v>22</v>
      </c>
      <c r="D476" t="s">
        <v>23</v>
      </c>
      <c r="E476">
        <v>193936</v>
      </c>
      <c r="F476">
        <v>0</v>
      </c>
      <c r="G476" t="s">
        <v>991</v>
      </c>
      <c r="H476">
        <v>1822750</v>
      </c>
      <c r="I476">
        <v>60</v>
      </c>
      <c r="J476">
        <v>6.93</v>
      </c>
      <c r="K476" t="s">
        <v>44</v>
      </c>
      <c r="L476">
        <v>0</v>
      </c>
      <c r="M476">
        <v>1800582.9200933799</v>
      </c>
      <c r="N476">
        <v>30009.72</v>
      </c>
      <c r="O476" t="s">
        <v>26</v>
      </c>
      <c r="P476">
        <v>0</v>
      </c>
      <c r="Q476">
        <v>0</v>
      </c>
      <c r="R476" t="s">
        <v>27</v>
      </c>
      <c r="S476">
        <v>4</v>
      </c>
      <c r="T476" t="s">
        <v>41</v>
      </c>
      <c r="U476" t="s">
        <v>29</v>
      </c>
    </row>
    <row r="477" spans="1:21" x14ac:dyDescent="0.25">
      <c r="A477" t="s">
        <v>992</v>
      </c>
      <c r="B477">
        <v>57</v>
      </c>
      <c r="C477" t="s">
        <v>22</v>
      </c>
      <c r="D477" t="s">
        <v>49</v>
      </c>
      <c r="E477">
        <v>144992</v>
      </c>
      <c r="F477">
        <v>2</v>
      </c>
      <c r="G477" t="s">
        <v>993</v>
      </c>
      <c r="H477">
        <v>1236944</v>
      </c>
      <c r="I477">
        <v>12</v>
      </c>
      <c r="J477">
        <v>6.2</v>
      </c>
      <c r="K477" t="s">
        <v>33</v>
      </c>
      <c r="L477">
        <v>1597246.35789802</v>
      </c>
      <c r="M477">
        <v>433475.76209943101</v>
      </c>
      <c r="N477">
        <v>36122.980000000003</v>
      </c>
      <c r="O477" t="s">
        <v>68</v>
      </c>
      <c r="P477">
        <v>2</v>
      </c>
      <c r="Q477">
        <v>111</v>
      </c>
      <c r="R477" t="s">
        <v>27</v>
      </c>
      <c r="S477">
        <v>4</v>
      </c>
      <c r="T477" t="s">
        <v>38</v>
      </c>
      <c r="U477" t="s">
        <v>29</v>
      </c>
    </row>
    <row r="478" spans="1:21" x14ac:dyDescent="0.25">
      <c r="A478" t="s">
        <v>994</v>
      </c>
      <c r="B478">
        <v>32</v>
      </c>
      <c r="C478" t="s">
        <v>31</v>
      </c>
      <c r="D478" t="s">
        <v>23</v>
      </c>
      <c r="E478">
        <v>99416</v>
      </c>
      <c r="F478">
        <v>0</v>
      </c>
      <c r="G478" t="s">
        <v>995</v>
      </c>
      <c r="H478">
        <v>1255046</v>
      </c>
      <c r="I478">
        <v>48</v>
      </c>
      <c r="J478">
        <v>15.6</v>
      </c>
      <c r="K478" t="s">
        <v>25</v>
      </c>
      <c r="L478">
        <v>1382287.6723813999</v>
      </c>
      <c r="M478">
        <v>572145.90655515401</v>
      </c>
      <c r="N478">
        <v>11919.71</v>
      </c>
      <c r="O478" t="s">
        <v>37</v>
      </c>
      <c r="P478">
        <v>1</v>
      </c>
      <c r="Q478">
        <v>162</v>
      </c>
      <c r="R478" t="s">
        <v>34</v>
      </c>
      <c r="S478">
        <v>2</v>
      </c>
      <c r="T478" t="s">
        <v>38</v>
      </c>
      <c r="U478" t="s">
        <v>29</v>
      </c>
    </row>
    <row r="479" spans="1:21" x14ac:dyDescent="0.25">
      <c r="A479" t="s">
        <v>996</v>
      </c>
      <c r="B479">
        <v>23</v>
      </c>
      <c r="C479" t="s">
        <v>22</v>
      </c>
      <c r="D479" t="s">
        <v>49</v>
      </c>
      <c r="E479">
        <v>201186</v>
      </c>
      <c r="F479">
        <v>3</v>
      </c>
      <c r="G479" t="s">
        <v>997</v>
      </c>
      <c r="H479">
        <v>347986</v>
      </c>
      <c r="I479">
        <v>24</v>
      </c>
      <c r="J479">
        <v>16.63</v>
      </c>
      <c r="K479" t="s">
        <v>25</v>
      </c>
      <c r="L479">
        <v>292036.91475616302</v>
      </c>
      <c r="M479">
        <v>250017.84830003401</v>
      </c>
      <c r="N479">
        <v>10417.41</v>
      </c>
      <c r="O479" t="s">
        <v>37</v>
      </c>
      <c r="P479">
        <v>1</v>
      </c>
      <c r="Q479">
        <v>125</v>
      </c>
      <c r="R479" t="s">
        <v>65</v>
      </c>
      <c r="S479">
        <v>1</v>
      </c>
      <c r="T479" t="s">
        <v>38</v>
      </c>
      <c r="U479" t="s">
        <v>29</v>
      </c>
    </row>
    <row r="480" spans="1:21" x14ac:dyDescent="0.25">
      <c r="A480" t="s">
        <v>998</v>
      </c>
      <c r="B480">
        <v>21</v>
      </c>
      <c r="C480" t="s">
        <v>31</v>
      </c>
      <c r="D480" t="s">
        <v>49</v>
      </c>
      <c r="E480">
        <v>142810</v>
      </c>
      <c r="F480">
        <v>3</v>
      </c>
      <c r="G480" t="s">
        <v>999</v>
      </c>
      <c r="H480">
        <v>63261</v>
      </c>
      <c r="I480">
        <v>60</v>
      </c>
      <c r="J480">
        <v>15.71</v>
      </c>
      <c r="K480" t="s">
        <v>25</v>
      </c>
      <c r="L480">
        <v>66082.152680890693</v>
      </c>
      <c r="M480">
        <v>52716.295981092801</v>
      </c>
      <c r="N480">
        <v>878.6</v>
      </c>
      <c r="O480" t="s">
        <v>37</v>
      </c>
      <c r="P480">
        <v>3</v>
      </c>
      <c r="Q480">
        <v>23</v>
      </c>
      <c r="R480" t="s">
        <v>27</v>
      </c>
      <c r="S480">
        <v>0</v>
      </c>
      <c r="T480" t="s">
        <v>41</v>
      </c>
      <c r="U480" t="s">
        <v>29</v>
      </c>
    </row>
    <row r="481" spans="1:21" x14ac:dyDescent="0.25">
      <c r="A481" t="s">
        <v>1000</v>
      </c>
      <c r="B481">
        <v>53</v>
      </c>
      <c r="C481" t="s">
        <v>22</v>
      </c>
      <c r="D481" t="s">
        <v>58</v>
      </c>
      <c r="E481">
        <v>53067</v>
      </c>
      <c r="F481">
        <v>2</v>
      </c>
      <c r="G481" t="s">
        <v>1001</v>
      </c>
      <c r="H481">
        <v>1175285</v>
      </c>
      <c r="I481">
        <v>48</v>
      </c>
      <c r="J481">
        <v>16.68</v>
      </c>
      <c r="K481" t="s">
        <v>25</v>
      </c>
      <c r="L481">
        <v>635909.30745797197</v>
      </c>
      <c r="M481">
        <v>559027.20333800896</v>
      </c>
      <c r="N481">
        <v>11646.4</v>
      </c>
      <c r="O481" t="s">
        <v>26</v>
      </c>
      <c r="P481">
        <v>1</v>
      </c>
      <c r="Q481">
        <v>120</v>
      </c>
      <c r="R481" t="s">
        <v>27</v>
      </c>
      <c r="S481">
        <v>7</v>
      </c>
      <c r="T481" t="s">
        <v>38</v>
      </c>
      <c r="U481" t="s">
        <v>29</v>
      </c>
    </row>
    <row r="482" spans="1:21" x14ac:dyDescent="0.25">
      <c r="A482" t="s">
        <v>1002</v>
      </c>
      <c r="B482">
        <v>60</v>
      </c>
      <c r="C482" t="s">
        <v>22</v>
      </c>
      <c r="D482" t="s">
        <v>23</v>
      </c>
      <c r="E482">
        <v>188757</v>
      </c>
      <c r="F482">
        <v>0</v>
      </c>
      <c r="G482" t="s">
        <v>1003</v>
      </c>
      <c r="H482">
        <v>1718849</v>
      </c>
      <c r="I482">
        <v>60</v>
      </c>
      <c r="J482">
        <v>12.19</v>
      </c>
      <c r="K482" t="s">
        <v>44</v>
      </c>
      <c r="L482">
        <v>0</v>
      </c>
      <c r="M482">
        <v>650931.52539835195</v>
      </c>
      <c r="N482">
        <v>10848.86</v>
      </c>
      <c r="O482" t="s">
        <v>26</v>
      </c>
      <c r="P482">
        <v>1</v>
      </c>
      <c r="Q482">
        <v>89</v>
      </c>
      <c r="R482" t="s">
        <v>27</v>
      </c>
      <c r="S482">
        <v>6</v>
      </c>
      <c r="T482" t="s">
        <v>28</v>
      </c>
      <c r="U482" t="s">
        <v>29</v>
      </c>
    </row>
    <row r="483" spans="1:21" x14ac:dyDescent="0.25">
      <c r="A483" t="s">
        <v>1004</v>
      </c>
      <c r="B483">
        <v>30</v>
      </c>
      <c r="C483" t="s">
        <v>31</v>
      </c>
      <c r="D483" t="s">
        <v>23</v>
      </c>
      <c r="E483">
        <v>33073</v>
      </c>
      <c r="F483">
        <v>0</v>
      </c>
      <c r="G483" t="s">
        <v>1005</v>
      </c>
      <c r="H483">
        <v>418760</v>
      </c>
      <c r="I483">
        <v>24</v>
      </c>
      <c r="J483">
        <v>15.56</v>
      </c>
      <c r="K483" t="s">
        <v>25</v>
      </c>
      <c r="L483">
        <v>521282.94862890599</v>
      </c>
      <c r="M483">
        <v>395327.53880157199</v>
      </c>
      <c r="N483">
        <v>16471.98</v>
      </c>
      <c r="O483" t="s">
        <v>68</v>
      </c>
      <c r="P483">
        <v>1</v>
      </c>
      <c r="Q483">
        <v>104</v>
      </c>
      <c r="R483" t="s">
        <v>34</v>
      </c>
      <c r="S483">
        <v>1</v>
      </c>
      <c r="T483" t="s">
        <v>45</v>
      </c>
      <c r="U483" t="s">
        <v>29</v>
      </c>
    </row>
    <row r="484" spans="1:21" x14ac:dyDescent="0.25">
      <c r="A484" t="s">
        <v>1006</v>
      </c>
      <c r="B484">
        <v>63</v>
      </c>
      <c r="C484" t="s">
        <v>22</v>
      </c>
      <c r="D484" t="s">
        <v>23</v>
      </c>
      <c r="E484">
        <v>51035</v>
      </c>
      <c r="F484">
        <v>2</v>
      </c>
      <c r="G484" t="s">
        <v>1007</v>
      </c>
      <c r="H484">
        <v>903605</v>
      </c>
      <c r="I484">
        <v>48</v>
      </c>
      <c r="J484">
        <v>9.99</v>
      </c>
      <c r="K484" t="s">
        <v>33</v>
      </c>
      <c r="L484">
        <v>854770.16032294906</v>
      </c>
      <c r="M484">
        <v>641044.91984841798</v>
      </c>
      <c r="N484">
        <v>13355.1</v>
      </c>
      <c r="O484" t="s">
        <v>26</v>
      </c>
      <c r="P484">
        <v>3</v>
      </c>
      <c r="Q484">
        <v>85</v>
      </c>
      <c r="R484" t="s">
        <v>27</v>
      </c>
      <c r="S484">
        <v>2</v>
      </c>
      <c r="T484" t="s">
        <v>45</v>
      </c>
      <c r="U484" t="s">
        <v>29</v>
      </c>
    </row>
    <row r="485" spans="1:21" x14ac:dyDescent="0.25">
      <c r="A485" t="s">
        <v>1008</v>
      </c>
      <c r="B485">
        <v>64</v>
      </c>
      <c r="C485" t="s">
        <v>22</v>
      </c>
      <c r="D485" t="s">
        <v>23</v>
      </c>
      <c r="E485">
        <v>211049</v>
      </c>
      <c r="F485">
        <v>1</v>
      </c>
      <c r="G485" t="s">
        <v>1009</v>
      </c>
      <c r="H485">
        <v>1392501</v>
      </c>
      <c r="I485">
        <v>36</v>
      </c>
      <c r="J485">
        <v>13.66</v>
      </c>
      <c r="K485" t="s">
        <v>64</v>
      </c>
      <c r="L485">
        <v>724132.867425301</v>
      </c>
      <c r="M485">
        <v>288413.65697520302</v>
      </c>
      <c r="N485">
        <v>8011.49</v>
      </c>
      <c r="O485" t="s">
        <v>26</v>
      </c>
      <c r="P485">
        <v>3</v>
      </c>
      <c r="Q485">
        <v>82</v>
      </c>
      <c r="R485" t="s">
        <v>34</v>
      </c>
      <c r="S485">
        <v>3</v>
      </c>
      <c r="T485" t="s">
        <v>28</v>
      </c>
      <c r="U485" t="s">
        <v>29</v>
      </c>
    </row>
    <row r="486" spans="1:21" x14ac:dyDescent="0.25">
      <c r="A486" t="s">
        <v>1010</v>
      </c>
      <c r="B486">
        <v>49</v>
      </c>
      <c r="C486" t="s">
        <v>22</v>
      </c>
      <c r="D486" t="s">
        <v>49</v>
      </c>
      <c r="E486">
        <v>248782</v>
      </c>
      <c r="F486">
        <v>0</v>
      </c>
      <c r="G486" t="s">
        <v>1011</v>
      </c>
      <c r="H486">
        <v>325796</v>
      </c>
      <c r="I486">
        <v>72</v>
      </c>
      <c r="J486">
        <v>17.850000000000001</v>
      </c>
      <c r="K486" t="s">
        <v>64</v>
      </c>
      <c r="L486">
        <v>183262.51151632599</v>
      </c>
      <c r="M486">
        <v>52790.384286280401</v>
      </c>
      <c r="N486">
        <v>733.2</v>
      </c>
      <c r="O486" t="s">
        <v>37</v>
      </c>
      <c r="P486">
        <v>2</v>
      </c>
      <c r="Q486">
        <v>171</v>
      </c>
      <c r="R486" t="s">
        <v>34</v>
      </c>
      <c r="S486">
        <v>1</v>
      </c>
      <c r="T486" t="s">
        <v>45</v>
      </c>
      <c r="U486" t="s">
        <v>29</v>
      </c>
    </row>
    <row r="487" spans="1:21" x14ac:dyDescent="0.25">
      <c r="A487" t="s">
        <v>1012</v>
      </c>
      <c r="B487">
        <v>33</v>
      </c>
      <c r="C487" t="s">
        <v>22</v>
      </c>
      <c r="D487" t="s">
        <v>23</v>
      </c>
      <c r="E487">
        <v>105373</v>
      </c>
      <c r="F487">
        <v>1</v>
      </c>
      <c r="G487" t="s">
        <v>1013</v>
      </c>
      <c r="H487">
        <v>1365823</v>
      </c>
      <c r="I487">
        <v>72</v>
      </c>
      <c r="J487">
        <v>7.93</v>
      </c>
      <c r="K487" t="s">
        <v>64</v>
      </c>
      <c r="L487">
        <v>1212122.1080164199</v>
      </c>
      <c r="M487">
        <v>730981.45707044902</v>
      </c>
      <c r="N487">
        <v>10152.52</v>
      </c>
      <c r="O487" t="s">
        <v>26</v>
      </c>
      <c r="P487">
        <v>3</v>
      </c>
      <c r="Q487">
        <v>26</v>
      </c>
      <c r="R487" t="s">
        <v>65</v>
      </c>
      <c r="S487">
        <v>8</v>
      </c>
      <c r="T487" t="s">
        <v>41</v>
      </c>
      <c r="U487" t="s">
        <v>29</v>
      </c>
    </row>
    <row r="488" spans="1:21" x14ac:dyDescent="0.25">
      <c r="A488" t="s">
        <v>1014</v>
      </c>
      <c r="B488">
        <v>32</v>
      </c>
      <c r="C488" t="s">
        <v>31</v>
      </c>
      <c r="D488" t="s">
        <v>49</v>
      </c>
      <c r="E488">
        <v>98362</v>
      </c>
      <c r="F488">
        <v>0</v>
      </c>
      <c r="G488" t="s">
        <v>1015</v>
      </c>
      <c r="H488">
        <v>1386220</v>
      </c>
      <c r="I488">
        <v>72</v>
      </c>
      <c r="J488">
        <v>10.07</v>
      </c>
      <c r="K488" t="s">
        <v>25</v>
      </c>
      <c r="L488">
        <v>1501860.5780937399</v>
      </c>
      <c r="M488">
        <v>413205.92622044502</v>
      </c>
      <c r="N488">
        <v>5738.97</v>
      </c>
      <c r="O488" t="s">
        <v>26</v>
      </c>
      <c r="P488">
        <v>3</v>
      </c>
      <c r="Q488">
        <v>41</v>
      </c>
      <c r="R488" t="s">
        <v>27</v>
      </c>
      <c r="S488">
        <v>8</v>
      </c>
      <c r="T488" t="s">
        <v>38</v>
      </c>
      <c r="U488" t="s">
        <v>29</v>
      </c>
    </row>
    <row r="489" spans="1:21" x14ac:dyDescent="0.25">
      <c r="A489" t="s">
        <v>1016</v>
      </c>
      <c r="B489">
        <v>51</v>
      </c>
      <c r="C489" t="s">
        <v>22</v>
      </c>
      <c r="D489" t="s">
        <v>23</v>
      </c>
      <c r="E489">
        <v>105517</v>
      </c>
      <c r="F489">
        <v>0</v>
      </c>
      <c r="G489" t="s">
        <v>1017</v>
      </c>
      <c r="H489">
        <v>820692</v>
      </c>
      <c r="I489">
        <v>60</v>
      </c>
      <c r="J489">
        <v>11.24</v>
      </c>
      <c r="K489" t="s">
        <v>25</v>
      </c>
      <c r="L489">
        <v>791314.46727341902</v>
      </c>
      <c r="M489">
        <v>269668.12969607802</v>
      </c>
      <c r="N489">
        <v>4494.47</v>
      </c>
      <c r="O489" t="s">
        <v>68</v>
      </c>
      <c r="P489">
        <v>0</v>
      </c>
      <c r="Q489">
        <v>0</v>
      </c>
      <c r="R489" t="s">
        <v>34</v>
      </c>
      <c r="S489">
        <v>2</v>
      </c>
      <c r="T489" t="s">
        <v>38</v>
      </c>
      <c r="U489" t="s">
        <v>29</v>
      </c>
    </row>
    <row r="490" spans="1:21" x14ac:dyDescent="0.25">
      <c r="A490" t="s">
        <v>1018</v>
      </c>
      <c r="B490">
        <v>22</v>
      </c>
      <c r="C490" t="s">
        <v>22</v>
      </c>
      <c r="D490" t="s">
        <v>49</v>
      </c>
      <c r="E490">
        <v>80450</v>
      </c>
      <c r="F490">
        <v>0</v>
      </c>
      <c r="G490" t="s">
        <v>1019</v>
      </c>
      <c r="H490">
        <v>1723200</v>
      </c>
      <c r="I490">
        <v>60</v>
      </c>
      <c r="J490">
        <v>6.79</v>
      </c>
      <c r="K490" t="s">
        <v>33</v>
      </c>
      <c r="L490">
        <v>1928612.8795578401</v>
      </c>
      <c r="M490">
        <v>1533515.2463005299</v>
      </c>
      <c r="N490">
        <v>25558.59</v>
      </c>
      <c r="O490" t="s">
        <v>37</v>
      </c>
      <c r="P490">
        <v>1</v>
      </c>
      <c r="Q490">
        <v>84</v>
      </c>
      <c r="R490" t="s">
        <v>34</v>
      </c>
      <c r="S490">
        <v>0</v>
      </c>
      <c r="T490" t="s">
        <v>38</v>
      </c>
      <c r="U490" t="s">
        <v>29</v>
      </c>
    </row>
    <row r="491" spans="1:21" x14ac:dyDescent="0.25">
      <c r="A491" t="s">
        <v>1020</v>
      </c>
      <c r="B491">
        <v>55</v>
      </c>
      <c r="C491" t="s">
        <v>22</v>
      </c>
      <c r="D491" t="s">
        <v>49</v>
      </c>
      <c r="E491">
        <v>25382</v>
      </c>
      <c r="F491">
        <v>0</v>
      </c>
      <c r="G491" t="s">
        <v>1021</v>
      </c>
      <c r="H491">
        <v>478745</v>
      </c>
      <c r="I491">
        <v>24</v>
      </c>
      <c r="J491">
        <v>6.05</v>
      </c>
      <c r="K491" t="s">
        <v>64</v>
      </c>
      <c r="L491">
        <v>469310.97492506797</v>
      </c>
      <c r="M491">
        <v>86465.857680180896</v>
      </c>
      <c r="N491">
        <v>3602.74</v>
      </c>
      <c r="O491" t="s">
        <v>26</v>
      </c>
      <c r="P491">
        <v>3</v>
      </c>
      <c r="Q491">
        <v>105</v>
      </c>
      <c r="R491" t="s">
        <v>27</v>
      </c>
      <c r="S491">
        <v>6</v>
      </c>
      <c r="T491" t="s">
        <v>41</v>
      </c>
      <c r="U491" t="s">
        <v>29</v>
      </c>
    </row>
    <row r="492" spans="1:21" x14ac:dyDescent="0.25">
      <c r="A492" t="s">
        <v>1022</v>
      </c>
      <c r="B492">
        <v>43</v>
      </c>
      <c r="C492" t="s">
        <v>31</v>
      </c>
      <c r="D492" t="s">
        <v>23</v>
      </c>
      <c r="E492">
        <v>150509</v>
      </c>
      <c r="F492">
        <v>3</v>
      </c>
      <c r="G492" t="s">
        <v>1023</v>
      </c>
      <c r="H492">
        <v>687787</v>
      </c>
      <c r="I492">
        <v>36</v>
      </c>
      <c r="J492">
        <v>15.79</v>
      </c>
      <c r="K492" t="s">
        <v>44</v>
      </c>
      <c r="L492">
        <v>0</v>
      </c>
      <c r="M492">
        <v>511595.02484883898</v>
      </c>
      <c r="N492">
        <v>14210.97</v>
      </c>
      <c r="O492" t="s">
        <v>68</v>
      </c>
      <c r="P492">
        <v>6</v>
      </c>
      <c r="Q492">
        <v>177</v>
      </c>
      <c r="R492" t="s">
        <v>34</v>
      </c>
      <c r="S492">
        <v>0</v>
      </c>
      <c r="T492" t="s">
        <v>41</v>
      </c>
      <c r="U492" t="s">
        <v>29</v>
      </c>
    </row>
    <row r="493" spans="1:21" x14ac:dyDescent="0.25">
      <c r="A493" t="s">
        <v>1024</v>
      </c>
      <c r="B493">
        <v>37</v>
      </c>
      <c r="C493" t="s">
        <v>22</v>
      </c>
      <c r="D493" t="s">
        <v>23</v>
      </c>
      <c r="E493">
        <v>217043</v>
      </c>
      <c r="F493">
        <v>1</v>
      </c>
      <c r="G493" t="s">
        <v>1025</v>
      </c>
      <c r="H493">
        <v>723812</v>
      </c>
      <c r="I493">
        <v>48</v>
      </c>
      <c r="J493">
        <v>17.7</v>
      </c>
      <c r="K493" t="s">
        <v>44</v>
      </c>
      <c r="L493">
        <v>0</v>
      </c>
      <c r="M493">
        <v>249011.61503351899</v>
      </c>
      <c r="N493">
        <v>5187.74</v>
      </c>
      <c r="O493" t="s">
        <v>37</v>
      </c>
      <c r="P493">
        <v>0</v>
      </c>
      <c r="Q493">
        <v>0</v>
      </c>
      <c r="R493" t="s">
        <v>34</v>
      </c>
      <c r="S493">
        <v>3</v>
      </c>
      <c r="T493" t="s">
        <v>41</v>
      </c>
      <c r="U493" t="s">
        <v>29</v>
      </c>
    </row>
    <row r="494" spans="1:21" x14ac:dyDescent="0.25">
      <c r="A494" t="s">
        <v>1026</v>
      </c>
      <c r="B494">
        <v>46</v>
      </c>
      <c r="C494" t="s">
        <v>31</v>
      </c>
      <c r="D494" t="s">
        <v>23</v>
      </c>
      <c r="E494">
        <v>210684</v>
      </c>
      <c r="F494">
        <v>1</v>
      </c>
      <c r="G494" t="s">
        <v>1027</v>
      </c>
      <c r="H494">
        <v>885825</v>
      </c>
      <c r="I494">
        <v>60</v>
      </c>
      <c r="J494">
        <v>10.26</v>
      </c>
      <c r="K494" t="s">
        <v>44</v>
      </c>
      <c r="L494">
        <v>0</v>
      </c>
      <c r="M494">
        <v>694748.47205278801</v>
      </c>
      <c r="N494">
        <v>11579.14</v>
      </c>
      <c r="O494" t="s">
        <v>37</v>
      </c>
      <c r="P494">
        <v>3</v>
      </c>
      <c r="Q494">
        <v>126</v>
      </c>
      <c r="R494" t="s">
        <v>34</v>
      </c>
      <c r="S494">
        <v>0</v>
      </c>
      <c r="T494" t="s">
        <v>28</v>
      </c>
      <c r="U494" t="s">
        <v>29</v>
      </c>
    </row>
    <row r="495" spans="1:21" x14ac:dyDescent="0.25">
      <c r="A495" t="s">
        <v>1028</v>
      </c>
      <c r="B495">
        <v>28</v>
      </c>
      <c r="C495" t="s">
        <v>22</v>
      </c>
      <c r="D495" t="s">
        <v>23</v>
      </c>
      <c r="E495">
        <v>236427</v>
      </c>
      <c r="F495">
        <v>0</v>
      </c>
      <c r="G495" t="s">
        <v>1029</v>
      </c>
      <c r="H495">
        <v>1522966</v>
      </c>
      <c r="I495">
        <v>72</v>
      </c>
      <c r="J495">
        <v>6.14</v>
      </c>
      <c r="K495" t="s">
        <v>25</v>
      </c>
      <c r="L495">
        <v>1769235.4587373501</v>
      </c>
      <c r="M495">
        <v>1142483.77889582</v>
      </c>
      <c r="N495">
        <v>15867.83</v>
      </c>
      <c r="O495" t="s">
        <v>26</v>
      </c>
      <c r="P495">
        <v>3</v>
      </c>
      <c r="Q495">
        <v>73</v>
      </c>
      <c r="R495" t="s">
        <v>34</v>
      </c>
      <c r="S495">
        <v>3</v>
      </c>
      <c r="T495" t="s">
        <v>41</v>
      </c>
      <c r="U495" t="s">
        <v>29</v>
      </c>
    </row>
    <row r="496" spans="1:21" x14ac:dyDescent="0.25">
      <c r="A496" t="s">
        <v>1030</v>
      </c>
      <c r="B496">
        <v>49</v>
      </c>
      <c r="C496" t="s">
        <v>31</v>
      </c>
      <c r="D496" t="s">
        <v>23</v>
      </c>
      <c r="E496">
        <v>76929</v>
      </c>
      <c r="F496">
        <v>0</v>
      </c>
      <c r="G496" t="s">
        <v>1031</v>
      </c>
      <c r="H496">
        <v>1556242</v>
      </c>
      <c r="I496">
        <v>24</v>
      </c>
      <c r="J496">
        <v>5.86</v>
      </c>
      <c r="K496" t="s">
        <v>44</v>
      </c>
      <c r="L496">
        <v>0</v>
      </c>
      <c r="M496">
        <v>165977.42873872301</v>
      </c>
      <c r="N496">
        <v>6915.73</v>
      </c>
      <c r="O496" t="s">
        <v>26</v>
      </c>
      <c r="P496">
        <v>0</v>
      </c>
      <c r="Q496">
        <v>0</v>
      </c>
      <c r="R496" t="s">
        <v>27</v>
      </c>
      <c r="S496">
        <v>1</v>
      </c>
      <c r="T496" t="s">
        <v>45</v>
      </c>
      <c r="U496" t="s">
        <v>29</v>
      </c>
    </row>
    <row r="497" spans="1:21" x14ac:dyDescent="0.25">
      <c r="A497" t="s">
        <v>1032</v>
      </c>
      <c r="B497">
        <v>46</v>
      </c>
      <c r="C497" t="s">
        <v>31</v>
      </c>
      <c r="D497" t="s">
        <v>23</v>
      </c>
      <c r="E497">
        <v>248483</v>
      </c>
      <c r="F497">
        <v>1</v>
      </c>
      <c r="G497" t="s">
        <v>1033</v>
      </c>
      <c r="H497">
        <v>740796</v>
      </c>
      <c r="I497">
        <v>72</v>
      </c>
      <c r="J497">
        <v>16.59</v>
      </c>
      <c r="K497" t="s">
        <v>44</v>
      </c>
      <c r="L497">
        <v>0</v>
      </c>
      <c r="M497">
        <v>413528.52961560199</v>
      </c>
      <c r="N497">
        <v>5743.45</v>
      </c>
      <c r="O497" t="s">
        <v>37</v>
      </c>
      <c r="P497">
        <v>2</v>
      </c>
      <c r="Q497">
        <v>169</v>
      </c>
      <c r="R497" t="s">
        <v>34</v>
      </c>
      <c r="S497">
        <v>2</v>
      </c>
      <c r="T497" t="s">
        <v>28</v>
      </c>
      <c r="U497" t="s">
        <v>29</v>
      </c>
    </row>
    <row r="498" spans="1:21" x14ac:dyDescent="0.25">
      <c r="A498" t="s">
        <v>1034</v>
      </c>
      <c r="B498">
        <v>30</v>
      </c>
      <c r="C498" t="s">
        <v>31</v>
      </c>
      <c r="D498" t="s">
        <v>23</v>
      </c>
      <c r="E498">
        <v>243590</v>
      </c>
      <c r="F498">
        <v>3</v>
      </c>
      <c r="G498" t="s">
        <v>1035</v>
      </c>
      <c r="H498">
        <v>1408126</v>
      </c>
      <c r="I498">
        <v>60</v>
      </c>
      <c r="J498">
        <v>11.03</v>
      </c>
      <c r="K498" t="s">
        <v>44</v>
      </c>
      <c r="L498">
        <v>0</v>
      </c>
      <c r="M498">
        <v>317374.046898762</v>
      </c>
      <c r="N498">
        <v>5289.57</v>
      </c>
      <c r="O498" t="s">
        <v>37</v>
      </c>
      <c r="P498">
        <v>2</v>
      </c>
      <c r="Q498">
        <v>102</v>
      </c>
      <c r="R498" t="s">
        <v>27</v>
      </c>
      <c r="S498">
        <v>9</v>
      </c>
      <c r="T498" t="s">
        <v>28</v>
      </c>
      <c r="U498" t="s">
        <v>29</v>
      </c>
    </row>
    <row r="499" spans="1:21" x14ac:dyDescent="0.25">
      <c r="A499" t="s">
        <v>1036</v>
      </c>
      <c r="B499">
        <v>46</v>
      </c>
      <c r="C499" t="s">
        <v>31</v>
      </c>
      <c r="D499" t="s">
        <v>23</v>
      </c>
      <c r="E499">
        <v>113864</v>
      </c>
      <c r="F499">
        <v>2</v>
      </c>
      <c r="G499" t="s">
        <v>1037</v>
      </c>
      <c r="H499">
        <v>375203</v>
      </c>
      <c r="I499">
        <v>48</v>
      </c>
      <c r="J499">
        <v>9.16</v>
      </c>
      <c r="K499" t="s">
        <v>44</v>
      </c>
      <c r="L499">
        <v>0</v>
      </c>
      <c r="M499">
        <v>330030.18249878997</v>
      </c>
      <c r="N499">
        <v>6875.63</v>
      </c>
      <c r="O499" t="s">
        <v>37</v>
      </c>
      <c r="P499">
        <v>3</v>
      </c>
      <c r="Q499">
        <v>140</v>
      </c>
      <c r="R499" t="s">
        <v>34</v>
      </c>
      <c r="S499">
        <v>3</v>
      </c>
      <c r="T499" t="s">
        <v>28</v>
      </c>
      <c r="U499" t="s">
        <v>29</v>
      </c>
    </row>
    <row r="500" spans="1:21" x14ac:dyDescent="0.25">
      <c r="A500" t="s">
        <v>1038</v>
      </c>
      <c r="B500">
        <v>54</v>
      </c>
      <c r="C500" t="s">
        <v>22</v>
      </c>
      <c r="D500" t="s">
        <v>23</v>
      </c>
      <c r="E500">
        <v>158401</v>
      </c>
      <c r="F500">
        <v>2</v>
      </c>
      <c r="G500" t="s">
        <v>1039</v>
      </c>
      <c r="H500">
        <v>1769890</v>
      </c>
      <c r="I500">
        <v>24</v>
      </c>
      <c r="J500">
        <v>11.19</v>
      </c>
      <c r="K500" t="s">
        <v>33</v>
      </c>
      <c r="L500">
        <v>1272774.0306001999</v>
      </c>
      <c r="M500">
        <v>1565339.02439741</v>
      </c>
      <c r="N500">
        <v>65222.46</v>
      </c>
      <c r="O500" t="s">
        <v>26</v>
      </c>
      <c r="P500">
        <v>3</v>
      </c>
      <c r="Q500">
        <v>9</v>
      </c>
      <c r="R500" t="s">
        <v>27</v>
      </c>
      <c r="S500">
        <v>9</v>
      </c>
      <c r="T500" t="s">
        <v>41</v>
      </c>
      <c r="U500" t="s">
        <v>29</v>
      </c>
    </row>
    <row r="501" spans="1:21" x14ac:dyDescent="0.25">
      <c r="A501" t="s">
        <v>1040</v>
      </c>
      <c r="B501">
        <v>61</v>
      </c>
      <c r="C501" t="s">
        <v>22</v>
      </c>
      <c r="D501" t="s">
        <v>49</v>
      </c>
      <c r="E501">
        <v>40169</v>
      </c>
      <c r="F501">
        <v>1</v>
      </c>
      <c r="G501" t="s">
        <v>1041</v>
      </c>
      <c r="H501">
        <v>394866</v>
      </c>
      <c r="I501">
        <v>12</v>
      </c>
      <c r="J501">
        <v>9.14</v>
      </c>
      <c r="K501" t="s">
        <v>44</v>
      </c>
      <c r="L501">
        <v>0</v>
      </c>
      <c r="M501">
        <v>188158.08205964699</v>
      </c>
      <c r="N501">
        <v>15679.84</v>
      </c>
      <c r="O501" t="s">
        <v>26</v>
      </c>
      <c r="P501">
        <v>1</v>
      </c>
      <c r="Q501">
        <v>116</v>
      </c>
      <c r="R501" t="s">
        <v>65</v>
      </c>
      <c r="S501">
        <v>6</v>
      </c>
      <c r="T501" t="s">
        <v>28</v>
      </c>
      <c r="U501" t="s">
        <v>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44AE-4C03-41D6-B3EA-A3E0C78ADA08}">
  <dimension ref="A1:C11"/>
  <sheetViews>
    <sheetView workbookViewId="0"/>
  </sheetViews>
  <sheetFormatPr defaultRowHeight="15" x14ac:dyDescent="0.25"/>
  <sheetData>
    <row r="1" spans="1:3" x14ac:dyDescent="0.25">
      <c r="A1" s="3"/>
      <c r="B1" s="3" t="s">
        <v>1054</v>
      </c>
      <c r="C1" s="4" t="s">
        <v>1055</v>
      </c>
    </row>
    <row r="2" spans="1:3" x14ac:dyDescent="0.25">
      <c r="A2" s="3" t="str">
        <f>IF('Pivot Tables'!A16&lt;&gt;"",'Pivot Tables'!A16,"")</f>
        <v/>
      </c>
      <c r="B2" s="3" t="e">
        <f>IF('Pivot Tables'!B16="",NA(),'Pivot Tables'!B16)</f>
        <v>#N/A</v>
      </c>
      <c r="C2" s="3" t="e">
        <f>IF(AND(3&lt;='Pivot Tables'!B16,'Pivot Tables'!B16&lt;=11),'Pivot Tables'!B16,NA())</f>
        <v>#N/A</v>
      </c>
    </row>
    <row r="3" spans="1:3" x14ac:dyDescent="0.25">
      <c r="A3" s="3" t="str">
        <f>IF('Pivot Tables'!A17&lt;&gt;"",'Pivot Tables'!A17,"")</f>
        <v/>
      </c>
      <c r="B3" s="3" t="e">
        <f>IF('Pivot Tables'!B17="",NA(),'Pivot Tables'!B17)</f>
        <v>#N/A</v>
      </c>
      <c r="C3" s="3" t="e">
        <f>IF(AND(3&lt;='Pivot Tables'!B17,'Pivot Tables'!B17&lt;=11),'Pivot Tables'!B17,NA())</f>
        <v>#N/A</v>
      </c>
    </row>
    <row r="4" spans="1:3" x14ac:dyDescent="0.25">
      <c r="A4" s="3" t="str">
        <f>IF('Pivot Tables'!A18&lt;&gt;"",'Pivot Tables'!A18,"")</f>
        <v/>
      </c>
      <c r="B4" s="3" t="e">
        <f>IF('Pivot Tables'!B18="",NA(),'Pivot Tables'!B18)</f>
        <v>#N/A</v>
      </c>
      <c r="C4" s="3" t="e">
        <f>IF(AND(3&lt;='Pivot Tables'!B18,'Pivot Tables'!B18&lt;=11),'Pivot Tables'!B18,NA())</f>
        <v>#N/A</v>
      </c>
    </row>
    <row r="5" spans="1:3" x14ac:dyDescent="0.25">
      <c r="A5" s="3" t="str">
        <f>IF('Pivot Tables'!A19&lt;&gt;"",'Pivot Tables'!A19,"")</f>
        <v/>
      </c>
      <c r="B5" s="3" t="e">
        <f>IF('Pivot Tables'!B19="",NA(),'Pivot Tables'!B19)</f>
        <v>#N/A</v>
      </c>
      <c r="C5" s="3" t="e">
        <f>IF(AND(3&lt;='Pivot Tables'!B19,'Pivot Tables'!B19&lt;=11),'Pivot Tables'!B19,NA())</f>
        <v>#N/A</v>
      </c>
    </row>
    <row r="6" spans="1:3" x14ac:dyDescent="0.25">
      <c r="A6" s="3" t="str">
        <f>IF('Pivot Tables'!A20&lt;&gt;"",'Pivot Tables'!A20,"")</f>
        <v/>
      </c>
      <c r="B6" s="3" t="e">
        <f>IF('Pivot Tables'!B20="",NA(),'Pivot Tables'!B20)</f>
        <v>#N/A</v>
      </c>
      <c r="C6" s="3" t="e">
        <f>IF(AND(3&lt;='Pivot Tables'!B20,'Pivot Tables'!B20&lt;=11),'Pivot Tables'!B20,NA())</f>
        <v>#N/A</v>
      </c>
    </row>
    <row r="7" spans="1:3" x14ac:dyDescent="0.25">
      <c r="A7" s="3" t="str">
        <f>IF('Pivot Tables'!A21&lt;&gt;"",'Pivot Tables'!A21,"")</f>
        <v/>
      </c>
      <c r="B7" s="3" t="e">
        <f>IF('Pivot Tables'!B21="",NA(),'Pivot Tables'!B21)</f>
        <v>#N/A</v>
      </c>
      <c r="C7" s="3" t="e">
        <f>IF(AND(3&lt;='Pivot Tables'!B21,'Pivot Tables'!B21&lt;=11),'Pivot Tables'!B21,NA())</f>
        <v>#N/A</v>
      </c>
    </row>
    <row r="8" spans="1:3" x14ac:dyDescent="0.25">
      <c r="A8" s="3" t="str">
        <f>IF('Pivot Tables'!A22&lt;&gt;"",'Pivot Tables'!A22,"")</f>
        <v/>
      </c>
      <c r="B8" s="3" t="e">
        <f>IF('Pivot Tables'!B22="",NA(),'Pivot Tables'!B22)</f>
        <v>#N/A</v>
      </c>
      <c r="C8" s="3" t="e">
        <f>IF(AND(3&lt;='Pivot Tables'!B22,'Pivot Tables'!B22&lt;=11),'Pivot Tables'!B22,NA())</f>
        <v>#N/A</v>
      </c>
    </row>
    <row r="9" spans="1:3" x14ac:dyDescent="0.25">
      <c r="A9" s="3" t="str">
        <f>IF('Pivot Tables'!A23&lt;&gt;"",'Pivot Tables'!A23,"")</f>
        <v/>
      </c>
      <c r="B9" s="3" t="e">
        <f>IF('Pivot Tables'!B23="",NA(),'Pivot Tables'!B23)</f>
        <v>#N/A</v>
      </c>
      <c r="C9" s="3" t="e">
        <f>IF(AND(3&lt;='Pivot Tables'!B23,'Pivot Tables'!B23&lt;=11),'Pivot Tables'!B23,NA())</f>
        <v>#N/A</v>
      </c>
    </row>
    <row r="10" spans="1:3" x14ac:dyDescent="0.25">
      <c r="A10" s="3" t="str">
        <f>IF('Pivot Tables'!A24&lt;&gt;"",'Pivot Tables'!A24,"")</f>
        <v/>
      </c>
      <c r="B10" s="3" t="e">
        <f>IF('Pivot Tables'!B24="",NA(),'Pivot Tables'!B24)</f>
        <v>#N/A</v>
      </c>
      <c r="C10" s="3" t="e">
        <f>IF(AND(3&lt;='Pivot Tables'!B24,'Pivot Tables'!B24&lt;=11),'Pivot Tables'!B24,NA())</f>
        <v>#N/A</v>
      </c>
    </row>
    <row r="11" spans="1:3" x14ac:dyDescent="0.25">
      <c r="A11" t="s">
        <v>1056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1AFDD7-7DD1-468C-B7C0-F5D327FCB9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New Table</vt:lpstr>
      <vt:lpstr>loan-recovery</vt:lpstr>
      <vt:lpstr>Kutools_Chart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Myq</dc:creator>
  <cp:lastModifiedBy>michael mark</cp:lastModifiedBy>
  <dcterms:created xsi:type="dcterms:W3CDTF">2025-05-19T04:56:01Z</dcterms:created>
  <dcterms:modified xsi:type="dcterms:W3CDTF">2025-11-17T16:04:02Z</dcterms:modified>
</cp:coreProperties>
</file>